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bb5a601e24a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통합집계" sheetId="1" r:id="Re5a8ad8e86bb4127"/>
    <x:sheet xmlns:r="http://schemas.openxmlformats.org/officeDocument/2006/relationships" name="계약원자료" sheetId="2" r:id="R3f626e86760044d1"/>
    <x:sheet xmlns:r="http://schemas.openxmlformats.org/officeDocument/2006/relationships" name="검산" sheetId="3" r:id="Rec44a7de8f85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0.0%"/>
  </x:numFmts>
  <x:fonts count="7">
    <x:font>
      <x:sz val="11"/>
      <x:name val="Carlito"/>
    </x:font>
    <x:font>
      <x:sz val="11"/>
      <x:color rgb="FF26334B"/>
      <x:name val="Malgun Gothic"/>
    </x:font>
    <x:font>
      <x:b/>
      <x:sz val="17"/>
      <x:color rgb="FF26334B"/>
      <x:name val="Malgun Gothic"/>
    </x:font>
    <x:font>
      <x:sz val="10"/>
      <x:color rgb="FF765523"/>
      <x:name val="Malgun Gothic"/>
    </x:font>
    <x:font>
      <x:b/>
      <x:sz val="16"/>
      <x:color rgb="FF26334B"/>
      <x:name val="Malgun Gothic"/>
    </x:font>
    <x:font>
      <x:b/>
      <x:sz val="11"/>
      <x:color rgb="FFFFFFFF"/>
      <x:name val="Malgun Gothic"/>
    </x:font>
    <x:font>
      <x:sz val="10"/>
      <x:color rgb="FF26334B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638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9cf8ad5ba44765" /><Relationship Type="http://schemas.openxmlformats.org/officeDocument/2006/relationships/theme" Target="/xl/theme/theme1.xml" Id="Rd837c62e7c7e48af" /><Relationship Type="http://schemas.openxmlformats.org/officeDocument/2006/relationships/sharedStrings" Target="/xl/sharedStrings.xml" Id="Raee9ff7b755044a3" /><Relationship Type="http://schemas.openxmlformats.org/officeDocument/2006/relationships/worksheet" Target="/xl/worksheets/sheet1.xml" Id="Re5a8ad8e86bb4127" /><Relationship Type="http://schemas.openxmlformats.org/officeDocument/2006/relationships/worksheet" Target="/xl/worksheets/sheet2.xml" Id="R3f626e86760044d1" /><Relationship Type="http://schemas.openxmlformats.org/officeDocument/2006/relationships/worksheet" Target="/xl/worksheets/sheet3.xml" Id="Rec44a7de8f854c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0ac5b121f346a5" /><Relationship Type="http://schemas.openxmlformats.org/officeDocument/2006/relationships/chart" Target="/xl/drawings/charts/chart2.xml" Id="Rdb698f69ad574e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Malgun Gothic"/>
                <a:ea typeface="Malgun Gothic"/>
                <a:cs typeface="Malgun Gothic"/>
              </a:rPr>
              <a:t>교육용 가상자료 월별 계약금액 (억원)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차트 금액(억원)</c:v>
          </c:tx>
          <c:spPr>
            <a:solidFill xmlns:a="http://schemas.openxmlformats.org/drawingml/2006/main">
              <a:srgbClr val="314D84"/>
            </a:solidFill>
            <a:ln xmlns:a="http://schemas.openxmlformats.org/drawingml/2006/main" w="19050">
              <a:solidFill>
                <a:srgbClr val="314D84"/>
              </a:solidFill>
              <a:prstDash val="solid"/>
            </a:ln>
          </c:spPr>
          <c:marker>
            <c:symbol val="none"/>
          </c:marker>
          <c:cat>
            <c:strRef>
              <c:f>'통합집계'!$A$7:$A$18</c:f>
              <c:strCache>
                <c:ptCount val="0"/>
              </c:strCache>
            </c:strRef>
          </c:cat>
          <c:val>
            <c:numRef>
              <c:f>'통합집계'!$D$7:$D$18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Malgun Gothic"/>
                <a:ea typeface="Malgun Gothic"/>
                <a:cs typeface="Malgun Gothic"/>
              </a:rPr>
              <a:t>교육용 가상자료 업무별 계약금액 (억원)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차트 금액(억원)</c:v>
          </c:tx>
          <c:spPr>
            <a:solidFill xmlns:a="http://schemas.openxmlformats.org/drawingml/2006/main">
              <a:srgbClr val="314D84"/>
            </a:solidFill>
          </c:spPr>
          <c:invertIfNegative val="0"/>
          <c:cat>
            <c:strRef>
              <c:f>'통합집계'!$A$24:$A$27</c:f>
              <c:strCache>
                <c:ptCount val="0"/>
              </c:strCache>
            </c:strRef>
          </c:cat>
          <c:val>
            <c:numRef>
              <c:f>'통합집계'!$D$24:$D$27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0ac5b121f346a5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15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698f69ad574e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1407d4854649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23.1299991607666" hidden="0" customWidth="1"/>
    <x:col min="4" max="4" width="17.5" hidden="0" customWidth="1"/>
    <x:col min="5" max="5" width="13.75" hidden="0" customWidth="1"/>
    <x:col min="6" max="6" width="3.75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 ht="30" customHeight="1">
      <x:c r="A1" s="4" t="str">
        <x:v>교육용 가상자료 / 2025년 1~12월 / 제작자 보완본 / 금액은 변경 반영 최종금액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7" customHeight="1">
      <x:c r="A2" s="3" t="str">
        <x:v>조달계약 300건 통합집계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7" customHeight="1">
      <x:c r="A3" s="2" t="str">
        <x:v>전체 계약</x:v>
      </x:c>
      <x:c r="B3" s="2" t="str">
        <x:v>계약 수(건)</x:v>
      </x:c>
      <x:c r="C3" s="2" t="str">
        <x:v>계약금액(원)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7" customHeight="1">
      <x:c r="A4" s="2"/>
      <x:c r="B4" s="6" t="n">
        <x:f>COUNTA('계약원자료'!$A$6:$A$305)</x:f>
        <x:v>300</x:v>
      </x:c>
      <x:c r="C4" s="6" t="n">
        <x:f>SUM('계약원자료'!$I$6:$I$305)</x:f>
        <x:v>12608000000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6" customHeight="1">
      <x:c r="A6" s="9" t="str">
        <x:v>월</x:v>
      </x:c>
      <x:c r="B6" s="9" t="str">
        <x:v>계약 수(건)</x:v>
      </x:c>
      <x:c r="C6" s="9" t="str">
        <x:v>계약금액(원)</x:v>
      </x:c>
      <x:c r="D6" s="9" t="str">
        <x:v>차트 금액(억원)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7" customHeight="1">
      <x:c r="A7" s="2" t="n">
        <x:v>1</x:v>
      </x:c>
      <x:c r="B7" s="5" t="n">
        <x:f>COUNTIF('계약원자료'!$C$6:$C$305,A7)</x:f>
        <x:v>25</x:v>
      </x:c>
      <x:c r="C7" s="5" t="n">
        <x:f>SUMIF('계약원자료'!$C$6:$C$305,A7,'계약원자료'!$I$6:$I$305)</x:f>
        <x:v>1229000000</x:v>
      </x:c>
      <x:c r="D7" s="10" t="n">
        <x:f>C7/100000000</x:f>
        <x:v>12.29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7" customHeight="1">
      <x:c r="A8" s="2" t="n">
        <x:v>2</x:v>
      </x:c>
      <x:c r="B8" s="5" t="n">
        <x:f>COUNTIF('계약원자료'!$C$6:$C$305,A8)</x:f>
        <x:v>25</x:v>
      </x:c>
      <x:c r="C8" s="5" t="n">
        <x:f>SUMIF('계약원자료'!$C$6:$C$305,A8,'계약원자료'!$I$6:$I$305)</x:f>
        <x:v>875000000</x:v>
      </x:c>
      <x:c r="D8" s="10" t="n">
        <x:f>C8/100000000</x:f>
        <x:v>8.75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27" customHeight="1">
      <x:c r="A9" s="2" t="n">
        <x:v>3</x:v>
      </x:c>
      <x:c r="B9" s="5" t="n">
        <x:f>COUNTIF('계약원자료'!$C$6:$C$305,A9)</x:f>
        <x:v>25</x:v>
      </x:c>
      <x:c r="C9" s="5" t="n">
        <x:f>SUMIF('계약원자료'!$C$6:$C$305,A9,'계약원자료'!$I$6:$I$305)</x:f>
        <x:v>846000000</x:v>
      </x:c>
      <x:c r="D9" s="10" t="n">
        <x:f>C9/100000000</x:f>
        <x:v>8.46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27" customHeight="1">
      <x:c r="A10" s="2" t="n">
        <x:v>4</x:v>
      </x:c>
      <x:c r="B10" s="5" t="n">
        <x:f>COUNTIF('계약원자료'!$C$6:$C$305,A10)</x:f>
        <x:v>25</x:v>
      </x:c>
      <x:c r="C10" s="5" t="n">
        <x:f>SUMIF('계약원자료'!$C$6:$C$305,A10,'계약원자료'!$I$6:$I$305)</x:f>
        <x:v>912000000</x:v>
      </x:c>
      <x:c r="D10" s="10" t="n">
        <x:f>C10/100000000</x:f>
        <x:v>9.12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27" customHeight="1">
      <x:c r="A11" s="2" t="n">
        <x:v>5</x:v>
      </x:c>
      <x:c r="B11" s="5" t="n">
        <x:f>COUNTIF('계약원자료'!$C$6:$C$305,A11)</x:f>
        <x:v>25</x:v>
      </x:c>
      <x:c r="C11" s="5" t="n">
        <x:f>SUMIF('계약원자료'!$C$6:$C$305,A11,'계약원자료'!$I$6:$I$305)</x:f>
        <x:v>1113000000</x:v>
      </x:c>
      <x:c r="D11" s="10" t="n">
        <x:f>C11/100000000</x:f>
        <x:v>11.13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27" customHeight="1">
      <x:c r="A12" s="2" t="n">
        <x:v>6</x:v>
      </x:c>
      <x:c r="B12" s="5" t="n">
        <x:f>COUNTIF('계약원자료'!$C$6:$C$305,A12)</x:f>
        <x:v>25</x:v>
      </x:c>
      <x:c r="C12" s="5" t="n">
        <x:f>SUMIF('계약원자료'!$C$6:$C$305,A12,'계약원자료'!$I$6:$I$305)</x:f>
        <x:v>1202000000</x:v>
      </x:c>
      <x:c r="D12" s="10" t="n">
        <x:f>C12/100000000</x:f>
        <x:v>12.02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7" customHeight="1">
      <x:c r="A13" s="2" t="n">
        <x:v>7</x:v>
      </x:c>
      <x:c r="B13" s="5" t="n">
        <x:f>COUNTIF('계약원자료'!$C$6:$C$305,A13)</x:f>
        <x:v>25</x:v>
      </x:c>
      <x:c r="C13" s="5" t="n">
        <x:f>SUMIF('계약원자료'!$C$6:$C$305,A13,'계약원자료'!$I$6:$I$305)</x:f>
        <x:v>1113000000</x:v>
      </x:c>
      <x:c r="D13" s="10" t="n">
        <x:f>C13/100000000</x:f>
        <x:v>11.13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7" customHeight="1">
      <x:c r="A14" s="2" t="n">
        <x:v>8</x:v>
      </x:c>
      <x:c r="B14" s="5" t="n">
        <x:f>COUNTIF('계약원자료'!$C$6:$C$305,A14)</x:f>
        <x:v>25</x:v>
      </x:c>
      <x:c r="C14" s="5" t="n">
        <x:f>SUMIF('계약원자료'!$C$6:$C$305,A14,'계약원자료'!$I$6:$I$305)</x:f>
        <x:v>890000000</x:v>
      </x:c>
      <x:c r="D14" s="10" t="n">
        <x:f>C14/100000000</x:f>
        <x:v>8.9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7" customHeight="1">
      <x:c r="A15" s="2" t="n">
        <x:v>9</x:v>
      </x:c>
      <x:c r="B15" s="5" t="n">
        <x:f>COUNTIF('계약원자료'!$C$6:$C$305,A15)</x:f>
        <x:v>25</x:v>
      </x:c>
      <x:c r="C15" s="5" t="n">
        <x:f>SUMIF('계약원자료'!$C$6:$C$305,A15,'계약원자료'!$I$6:$I$305)</x:f>
        <x:v>1085000000</x:v>
      </x:c>
      <x:c r="D15" s="10" t="n">
        <x:f>C15/100000000</x:f>
        <x:v>10.85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7" customHeight="1">
      <x:c r="A16" s="2" t="n">
        <x:v>10</x:v>
      </x:c>
      <x:c r="B16" s="5" t="n">
        <x:f>COUNTIF('계약원자료'!$C$6:$C$305,A16)</x:f>
        <x:v>25</x:v>
      </x:c>
      <x:c r="C16" s="5" t="n">
        <x:f>SUMIF('계약원자료'!$C$6:$C$305,A16,'계약원자료'!$I$6:$I$305)</x:f>
        <x:v>1112000000</x:v>
      </x:c>
      <x:c r="D16" s="10" t="n">
        <x:f>C16/100000000</x:f>
        <x:v>11.12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7" customHeight="1">
      <x:c r="A17" s="2" t="n">
        <x:v>11</x:v>
      </x:c>
      <x:c r="B17" s="5" t="n">
        <x:f>COUNTIF('계약원자료'!$C$6:$C$305,A17)</x:f>
        <x:v>25</x:v>
      </x:c>
      <x:c r="C17" s="5" t="n">
        <x:f>SUMIF('계약원자료'!$C$6:$C$305,A17,'계약원자료'!$I$6:$I$305)</x:f>
        <x:v>1097000000</x:v>
      </x:c>
      <x:c r="D17" s="10" t="n">
        <x:f>C17/100000000</x:f>
        <x:v>10.97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7" customHeight="1">
      <x:c r="A18" s="2" t="n">
        <x:v>12</x:v>
      </x:c>
      <x:c r="B18" s="5" t="n">
        <x:f>COUNTIF('계약원자료'!$C$6:$C$305,A18)</x:f>
        <x:v>25</x:v>
      </x:c>
      <x:c r="C18" s="5" t="n">
        <x:f>SUMIF('계약원자료'!$C$6:$C$305,A18,'계약원자료'!$I$6:$I$305)</x:f>
        <x:v>1134000000</x:v>
      </x:c>
      <x:c r="D18" s="10" t="n">
        <x:f>C18/100000000</x:f>
        <x:v>11.34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7" customHeight="1">
      <x:c r="A19" s="2" t="str">
        <x:v>합계</x:v>
      </x:c>
      <x:c r="B19" s="5" t="n">
        <x:f>SUM(B7:B18)</x:f>
        <x:v>300</x:v>
      </x:c>
      <x:c r="C19" s="5" t="n">
        <x:f>SUM(C7:C18)</x:f>
        <x:v>12608000000</x:v>
      </x:c>
      <x:c r="D19" s="10" t="n">
        <x:f>SUM(D7:D18)</x:f>
        <x:v>126.08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7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7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27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36" customHeight="1">
      <x:c r="A23" s="9" t="str">
        <x:v>업무구분</x:v>
      </x:c>
      <x:c r="B23" s="9" t="str">
        <x:v>계약 수(건)</x:v>
      </x:c>
      <x:c r="C23" s="9" t="str">
        <x:v>계약금액(원)</x:v>
      </x:c>
      <x:c r="D23" s="9" t="str">
        <x:v>차트 금액(억원)</x:v>
      </x:c>
      <x:c r="E23" s="9" t="str">
        <x:v>금액 비중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27" customHeight="1">
      <x:c r="A24" s="2" t="str">
        <x:v>설비점검지원</x:v>
      </x:c>
      <x:c r="B24" s="5" t="n">
        <x:f>COUNTIF('계약원자료'!$E$6:$E$305,A24)</x:f>
        <x:v>75</x:v>
      </x:c>
      <x:c r="C24" s="5" t="n">
        <x:f>SUMIF('계약원자료'!$E$6:$E$305,A24,'계약원자료'!$I$6:$I$305)</x:f>
        <x:v>3053000000</x:v>
      </x:c>
      <x:c r="D24" s="10" t="n">
        <x:f>C24/100000000</x:f>
        <x:v>30.53</x:v>
      </x:c>
      <x:c r="E24" s="11" t="n">
        <x:f>IF($C$4=0,"n.a.",C24/$C$4)</x:f>
        <x:v>0.2421478426395939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7" customHeight="1">
      <x:c r="A25" s="2" t="str">
        <x:v>안내자료제작</x:v>
      </x:c>
      <x:c r="B25" s="5" t="n">
        <x:f>COUNTIF('계약원자료'!$E$6:$E$305,A25)</x:f>
        <x:v>75</x:v>
      </x:c>
      <x:c r="C25" s="5" t="n">
        <x:f>SUMIF('계약원자료'!$E$6:$E$305,A25,'계약원자료'!$I$6:$I$305)</x:f>
        <x:v>3251000000</x:v>
      </x:c>
      <x:c r="D25" s="10" t="n">
        <x:f>C25/100000000</x:f>
        <x:v>32.51</x:v>
      </x:c>
      <x:c r="E25" s="11" t="n">
        <x:f>IF($C$4=0,"n.a.",C25/$C$4)</x:f>
        <x:v>0.25785215736040606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27" customHeight="1">
      <x:c r="A26" s="2" t="str">
        <x:v>업무교육</x:v>
      </x:c>
      <x:c r="B26" s="5" t="n">
        <x:f>COUNTIF('계약원자료'!$E$6:$E$305,A26)</x:f>
        <x:v>75</x:v>
      </x:c>
      <x:c r="C26" s="5" t="n">
        <x:f>SUMIF('계약원자료'!$E$6:$E$305,A26,'계약원자료'!$I$6:$I$305)</x:f>
        <x:v>3223000000</x:v>
      </x:c>
      <x:c r="D26" s="10" t="n">
        <x:f>C26/100000000</x:f>
        <x:v>32.23</x:v>
      </x:c>
      <x:c r="E26" s="11" t="n">
        <x:f>IF($C$4=0,"n.a.",C26/$C$4)</x:f>
        <x:v>0.25563134517766495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7" customHeight="1">
      <x:c r="A27" s="2" t="str">
        <x:v>기록정비지원</x:v>
      </x:c>
      <x:c r="B27" s="5" t="n">
        <x:f>COUNTIF('계약원자료'!$E$6:$E$305,A27)</x:f>
        <x:v>75</x:v>
      </x:c>
      <x:c r="C27" s="5" t="n">
        <x:f>SUMIF('계약원자료'!$E$6:$E$305,A27,'계약원자료'!$I$6:$I$305)</x:f>
        <x:v>3081000000</x:v>
      </x:c>
      <x:c r="D27" s="10" t="n">
        <x:f>C27/100000000</x:f>
        <x:v>30.81</x:v>
      </x:c>
      <x:c r="E27" s="11" t="n">
        <x:f>IF($C$4=0,"n.a.",C27/$C$4)</x:f>
        <x:v>0.24436865482233502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7" customHeight="1">
      <x:c r="A28" s="2" t="str">
        <x:v>합계</x:v>
      </x:c>
      <x:c r="B28" s="5" t="n">
        <x:f>SUM(B24:B27)</x:f>
        <x:v>300</x:v>
      </x:c>
      <x:c r="C28" s="5" t="n">
        <x:f>SUM(C24:C27)</x:f>
        <x:v>12608000000</x:v>
      </x:c>
      <x:c r="D28" s="10" t="n">
        <x:f>SUM(D24:D27)</x:f>
        <x:v>126.08</x:v>
      </x:c>
      <x:c r="E28" s="11" t="n">
        <x:f>SUM(E24:E27)</x:f>
        <x:v>1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7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7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7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7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36" customHeight="1">
      <x:c r="A33" s="9" t="str">
        <x:v>계약방법</x:v>
      </x:c>
      <x:c r="B33" s="9" t="str">
        <x:v>계약 수(건)</x:v>
      </x:c>
      <x:c r="C33" s="9" t="str">
        <x:v>계약금액(원)</x:v>
      </x:c>
      <x:c r="D33" s="9" t="str">
        <x:v>건수 비중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7" customHeight="1">
      <x:c r="A34" s="2" t="str">
        <x:v>수의계약</x:v>
      </x:c>
      <x:c r="B34" s="5" t="n">
        <x:f>COUNTIF('계약원자료'!$F$6:$F$305,A34)</x:f>
        <x:v>105</x:v>
      </x:c>
      <x:c r="C34" s="5" t="n">
        <x:f>SUMIF('계약원자료'!$F$6:$F$305,A34,'계약원자료'!$I$6:$I$305)</x:f>
        <x:v>4452000000</x:v>
      </x:c>
      <x:c r="D34" s="11" t="n">
        <x:f>IF($B$4=0,"n.a.",B34/$B$4)</x:f>
        <x:v>0.35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27" customHeight="1">
      <x:c r="A35" s="2" t="str">
        <x:v>일반경쟁</x:v>
      </x:c>
      <x:c r="B35" s="5" t="n">
        <x:f>COUNTIF('계약원자료'!$F$6:$F$305,A35)</x:f>
        <x:v>102</x:v>
      </x:c>
      <x:c r="C35" s="5" t="n">
        <x:f>SUMIF('계약원자료'!$F$6:$F$305,A35,'계약원자료'!$I$6:$I$305)</x:f>
        <x:v>4178000000</x:v>
      </x:c>
      <x:c r="D35" s="11" t="n">
        <x:f>IF($B$4=0,"n.a.",B35/$B$4)</x:f>
        <x:v>0.34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27" customHeight="1">
      <x:c r="A36" s="2" t="str">
        <x:v>제한경쟁</x:v>
      </x:c>
      <x:c r="B36" s="5" t="n">
        <x:f>COUNTIF('계약원자료'!$F$6:$F$305,A36)</x:f>
        <x:v>93</x:v>
      </x:c>
      <x:c r="C36" s="5" t="n">
        <x:f>SUMIF('계약원자료'!$F$6:$F$305,A36,'계약원자료'!$I$6:$I$305)</x:f>
        <x:v>3978000000</x:v>
      </x:c>
      <x:c r="D36" s="11" t="n">
        <x:f>IF($B$4=0,"n.a.",B36/$B$4)</x:f>
        <x:v>0.31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27" customHeight="1">
      <x:c r="A37" s="2" t="str">
        <x:v>합계</x:v>
      </x:c>
      <x:c r="B37" s="5" t="n">
        <x:f>SUM(B34:B36)</x:f>
        <x:v>300</x:v>
      </x:c>
      <x:c r="C37" s="5" t="n">
        <x:f>SUM(C34:C36)</x:f>
        <x:v>12608000000</x:v>
      </x:c>
      <x:c r="D37" s="11" t="n">
        <x:f>SUM(D34:D36)</x:f>
        <x:v>1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7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7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27" customHeight="1">
      <x:c r="A40" s="12" t="str">
        <x:v>비중: 업무는 금액 비중, 계약방법은 건수 비중. 계약 1행을 1건으로 집계하며 변경횟수로 금액을 다시 더하지 않습니다.</x:v>
      </x:c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</x:row>
  </x:sheetData>
  <x:mergeCells>
    <x:mergeCell ref="A1:O1"/>
    <x:mergeCell ref="A40:O40"/>
  </x:mergeCells>
  <x:pageMargins left="0.7" right="0.7" top="0.75" bottom="0.75" header="0.3" footer="0.3"/>
  <x:drawing xmlns:r="http://schemas.openxmlformats.org/officeDocument/2006/relationships" r:id="Re61407d48546496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3799991607666" hidden="0" customWidth="1"/>
    <x:col min="2" max="2" width="14.380000114440918" hidden="0" customWidth="1"/>
    <x:col min="3" max="3" width="8.130000114440918" hidden="0" customWidth="1"/>
    <x:col min="4" max="4" width="20" hidden="0" customWidth="1"/>
    <x:col min="5" max="5" width="17.5" hidden="0" customWidth="1"/>
    <x:col min="6" max="6" width="13.75" hidden="0" customWidth="1"/>
    <x:col min="7" max="7" width="32.5" hidden="0" customWidth="1"/>
    <x:col min="8" max="8" width="15.630000114440918" hidden="0" customWidth="1"/>
    <x:col min="9" max="9" width="20.6299991607666" hidden="0" customWidth="1"/>
    <x:col min="10" max="10" width="11.25" hidden="0" customWidth="1"/>
    <x:col min="11" max="11" width="11.880000114440918" hidden="0" customWidth="1"/>
    <x:col min="12" max="12" width="22.5" hidden="0" customWidth="1"/>
  </x:cols>
  <x:sheetData>
    <x:row r="1" ht="30" customHeight="1">
      <x:c r="A1" s="4" t="str">
        <x:v>교육용 가상자료 / 원본 CSV 300행 / 변경 반영 최종금액 / 집계 범위: 6~305행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7" customHeight="1">
      <x:c r="A2" s="3" t="str">
        <x:v>계약 원자료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9" t="str">
        <x:v>계약번호</x:v>
      </x:c>
      <x:c r="B5" s="9" t="str">
        <x:v>계약일</x:v>
      </x:c>
      <x:c r="C5" s="9" t="str">
        <x:v>월</x:v>
      </x:c>
      <x:c r="D5" s="9" t="str">
        <x:v>부서</x:v>
      </x:c>
      <x:c r="E5" s="9" t="str">
        <x:v>업무구분</x:v>
      </x:c>
      <x:c r="F5" s="9" t="str">
        <x:v>계약방법</x:v>
      </x:c>
      <x:c r="G5" s="9" t="str">
        <x:v>계약명</x:v>
      </x:c>
      <x:c r="H5" s="9" t="str">
        <x:v>업체</x:v>
      </x:c>
      <x:c r="I5" s="9" t="str">
        <x:v>계약금액 원</x:v>
      </x:c>
      <x:c r="J5" s="9" t="str">
        <x:v>상태</x:v>
      </x:c>
      <x:c r="K5" s="9" t="str">
        <x:v>변경횟수</x:v>
      </x:c>
      <x:c r="L5" s="9" t="str">
        <x:v>자료구분</x:v>
      </x:c>
    </x:row>
    <x:row r="6" ht="27" customHeight="1">
      <x:c r="A6" s="2" t="str">
        <x:v>SIM-2025-0001</x:v>
      </x:c>
      <x:c r="B6" s="2" t="str">
        <x:v>2025-01-20</x:v>
      </x:c>
      <x:c r="C6" s="2" t="n">
        <x:v>1</x:v>
      </x:c>
      <x:c r="D6" s="2" t="str">
        <x:v>가상 설비지원팀</x:v>
      </x:c>
      <x:c r="E6" s="2" t="str">
        <x:v>설비점검지원</x:v>
      </x:c>
      <x:c r="F6" s="2" t="str">
        <x:v>일반경쟁</x:v>
      </x:c>
      <x:c r="G6" s="2" t="str">
        <x:v>설비점검지원 가상 과제 001</x:v>
      </x:c>
      <x:c r="H6" s="2" t="str">
        <x:v>가상업체01</x:v>
      </x:c>
      <x:c r="I6" s="5" t="n">
        <x:v>54000000</x:v>
      </x:c>
      <x:c r="J6" s="2" t="str">
        <x:v>완료</x:v>
      </x:c>
      <x:c r="K6" s="2" t="n">
        <x:v>0</x:v>
      </x:c>
      <x:c r="L6" s="2" t="str">
        <x:v>교육용 가상자료</x:v>
      </x:c>
    </x:row>
    <x:row r="7" ht="27" customHeight="1">
      <x:c r="A7" s="2" t="str">
        <x:v>SIM-2025-0002</x:v>
      </x:c>
      <x:c r="B7" s="2" t="str">
        <x:v>2025-01-21</x:v>
      </x:c>
      <x:c r="C7" s="2" t="n">
        <x:v>1</x:v>
      </x:c>
      <x:c r="D7" s="2" t="str">
        <x:v>가상 고객안내팀</x:v>
      </x:c>
      <x:c r="E7" s="2" t="str">
        <x:v>안내자료제작</x:v>
      </x:c>
      <x:c r="F7" s="2" t="str">
        <x:v>수의계약</x:v>
      </x:c>
      <x:c r="G7" s="2" t="str">
        <x:v>안내자료제작 가상 과제 002</x:v>
      </x:c>
      <x:c r="H7" s="2" t="str">
        <x:v>가상업체02</x:v>
      </x:c>
      <x:c r="I7" s="5" t="n">
        <x:v>74000000</x:v>
      </x:c>
      <x:c r="J7" s="2" t="str">
        <x:v>완료</x:v>
      </x:c>
      <x:c r="K7" s="2" t="n">
        <x:v>1</x:v>
      </x:c>
      <x:c r="L7" s="2" t="str">
        <x:v>교육용 가상자료</x:v>
      </x:c>
    </x:row>
    <x:row r="8" ht="27" customHeight="1">
      <x:c r="A8" s="2" t="str">
        <x:v>SIM-2025-0003</x:v>
      </x:c>
      <x:c r="B8" s="2" t="str">
        <x:v>2025-01-26</x:v>
      </x:c>
      <x:c r="C8" s="2" t="n">
        <x:v>1</x:v>
      </x:c>
      <x:c r="D8" s="2" t="str">
        <x:v>가상 업무교육팀</x:v>
      </x:c>
      <x:c r="E8" s="2" t="str">
        <x:v>업무교육</x:v>
      </x:c>
      <x:c r="F8" s="2" t="str">
        <x:v>일반경쟁</x:v>
      </x:c>
      <x:c r="G8" s="2" t="str">
        <x:v>업무교육 가상 과제 003</x:v>
      </x:c>
      <x:c r="H8" s="2" t="str">
        <x:v>가상업체03</x:v>
      </x:c>
      <x:c r="I8" s="5" t="n">
        <x:v>43000000</x:v>
      </x:c>
      <x:c r="J8" s="2" t="str">
        <x:v>완료</x:v>
      </x:c>
      <x:c r="K8" s="2" t="n">
        <x:v>0</x:v>
      </x:c>
      <x:c r="L8" s="2" t="str">
        <x:v>교육용 가상자료</x:v>
      </x:c>
    </x:row>
    <x:row r="9" ht="27" customHeight="1">
      <x:c r="A9" s="2" t="str">
        <x:v>SIM-2025-0004</x:v>
      </x:c>
      <x:c r="B9" s="2" t="str">
        <x:v>2025-01-05</x:v>
      </x:c>
      <x:c r="C9" s="2" t="n">
        <x:v>1</x:v>
      </x:c>
      <x:c r="D9" s="2" t="str">
        <x:v>가상 사업관리팀</x:v>
      </x:c>
      <x:c r="E9" s="2" t="str">
        <x:v>기록정비지원</x:v>
      </x:c>
      <x:c r="F9" s="2" t="str">
        <x:v>수의계약</x:v>
      </x:c>
      <x:c r="G9" s="2" t="str">
        <x:v>기록정비지원 가상 과제 004</x:v>
      </x:c>
      <x:c r="H9" s="2" t="str">
        <x:v>가상업체04</x:v>
      </x:c>
      <x:c r="I9" s="5" t="n">
        <x:v>69000000</x:v>
      </x:c>
      <x:c r="J9" s="2" t="str">
        <x:v>완료</x:v>
      </x:c>
      <x:c r="K9" s="2" t="n">
        <x:v>2</x:v>
      </x:c>
      <x:c r="L9" s="2" t="str">
        <x:v>교육용 가상자료</x:v>
      </x:c>
    </x:row>
    <x:row r="10" ht="27" customHeight="1">
      <x:c r="A10" s="2" t="str">
        <x:v>SIM-2025-0005</x:v>
      </x:c>
      <x:c r="B10" s="2" t="str">
        <x:v>2025-01-24</x:v>
      </x:c>
      <x:c r="C10" s="2" t="n">
        <x:v>1</x:v>
      </x:c>
      <x:c r="D10" s="2" t="str">
        <x:v>가상 자료정비팀</x:v>
      </x:c>
      <x:c r="E10" s="2" t="str">
        <x:v>설비점검지원</x:v>
      </x:c>
      <x:c r="F10" s="2" t="str">
        <x:v>제한경쟁</x:v>
      </x:c>
      <x:c r="G10" s="2" t="str">
        <x:v>설비점검지원 가상 과제 005</x:v>
      </x:c>
      <x:c r="H10" s="2" t="str">
        <x:v>가상업체05</x:v>
      </x:c>
      <x:c r="I10" s="5" t="n">
        <x:v>8000000</x:v>
      </x:c>
      <x:c r="J10" s="2" t="str">
        <x:v>완료</x:v>
      </x:c>
      <x:c r="K10" s="2" t="n">
        <x:v>3</x:v>
      </x:c>
      <x:c r="L10" s="2" t="str">
        <x:v>교육용 가상자료</x:v>
      </x:c>
    </x:row>
    <x:row r="11" ht="27" customHeight="1">
      <x:c r="A11" s="2" t="str">
        <x:v>SIM-2025-0006</x:v>
      </x:c>
      <x:c r="B11" s="2" t="str">
        <x:v>2025-01-15</x:v>
      </x:c>
      <x:c r="C11" s="2" t="n">
        <x:v>1</x:v>
      </x:c>
      <x:c r="D11" s="2" t="str">
        <x:v>가상 설비지원팀</x:v>
      </x:c>
      <x:c r="E11" s="2" t="str">
        <x:v>안내자료제작</x:v>
      </x:c>
      <x:c r="F11" s="2" t="str">
        <x:v>제한경쟁</x:v>
      </x:c>
      <x:c r="G11" s="2" t="str">
        <x:v>안내자료제작 가상 과제 006</x:v>
      </x:c>
      <x:c r="H11" s="2" t="str">
        <x:v>가상업체06</x:v>
      </x:c>
      <x:c r="I11" s="5" t="n">
        <x:v>26000000</x:v>
      </x:c>
      <x:c r="J11" s="2" t="str">
        <x:v>완료</x:v>
      </x:c>
      <x:c r="K11" s="2" t="n">
        <x:v>1</x:v>
      </x:c>
      <x:c r="L11" s="2" t="str">
        <x:v>교육용 가상자료</x:v>
      </x:c>
    </x:row>
    <x:row r="12" ht="27" customHeight="1">
      <x:c r="A12" s="2" t="str">
        <x:v>SIM-2025-0007</x:v>
      </x:c>
      <x:c r="B12" s="2" t="str">
        <x:v>2025-01-20</x:v>
      </x:c>
      <x:c r="C12" s="2" t="n">
        <x:v>1</x:v>
      </x:c>
      <x:c r="D12" s="2" t="str">
        <x:v>가상 고객안내팀</x:v>
      </x:c>
      <x:c r="E12" s="2" t="str">
        <x:v>업무교육</x:v>
      </x:c>
      <x:c r="F12" s="2" t="str">
        <x:v>제한경쟁</x:v>
      </x:c>
      <x:c r="G12" s="2" t="str">
        <x:v>업무교육 가상 과제 007</x:v>
      </x:c>
      <x:c r="H12" s="2" t="str">
        <x:v>가상업체07</x:v>
      </x:c>
      <x:c r="I12" s="5" t="n">
        <x:v>70000000</x:v>
      </x:c>
      <x:c r="J12" s="2" t="str">
        <x:v>완료</x:v>
      </x:c>
      <x:c r="K12" s="2" t="n">
        <x:v>1</x:v>
      </x:c>
      <x:c r="L12" s="2" t="str">
        <x:v>교육용 가상자료</x:v>
      </x:c>
    </x:row>
    <x:row r="13" ht="27" customHeight="1">
      <x:c r="A13" s="2" t="str">
        <x:v>SIM-2025-0008</x:v>
      </x:c>
      <x:c r="B13" s="2" t="str">
        <x:v>2025-01-06</x:v>
      </x:c>
      <x:c r="C13" s="2" t="n">
        <x:v>1</x:v>
      </x:c>
      <x:c r="D13" s="2" t="str">
        <x:v>가상 업무교육팀</x:v>
      </x:c>
      <x:c r="E13" s="2" t="str">
        <x:v>기록정비지원</x:v>
      </x:c>
      <x:c r="F13" s="2" t="str">
        <x:v>일반경쟁</x:v>
      </x:c>
      <x:c r="G13" s="2" t="str">
        <x:v>기록정비지원 가상 과제 008</x:v>
      </x:c>
      <x:c r="H13" s="2" t="str">
        <x:v>가상업체08</x:v>
      </x:c>
      <x:c r="I13" s="5" t="n">
        <x:v>69000000</x:v>
      </x:c>
      <x:c r="J13" s="2" t="str">
        <x:v>완료</x:v>
      </x:c>
      <x:c r="K13" s="2" t="n">
        <x:v>1</x:v>
      </x:c>
      <x:c r="L13" s="2" t="str">
        <x:v>교육용 가상자료</x:v>
      </x:c>
    </x:row>
    <x:row r="14" ht="27" customHeight="1">
      <x:c r="A14" s="2" t="str">
        <x:v>SIM-2025-0009</x:v>
      </x:c>
      <x:c r="B14" s="2" t="str">
        <x:v>2025-01-21</x:v>
      </x:c>
      <x:c r="C14" s="2" t="n">
        <x:v>1</x:v>
      </x:c>
      <x:c r="D14" s="2" t="str">
        <x:v>가상 사업관리팀</x:v>
      </x:c>
      <x:c r="E14" s="2" t="str">
        <x:v>설비점검지원</x:v>
      </x:c>
      <x:c r="F14" s="2" t="str">
        <x:v>제한경쟁</x:v>
      </x:c>
      <x:c r="G14" s="2" t="str">
        <x:v>설비점검지원 가상 과제 009</x:v>
      </x:c>
      <x:c r="H14" s="2" t="str">
        <x:v>가상업체09</x:v>
      </x:c>
      <x:c r="I14" s="5" t="n">
        <x:v>38000000</x:v>
      </x:c>
      <x:c r="J14" s="2" t="str">
        <x:v>완료</x:v>
      </x:c>
      <x:c r="K14" s="2" t="n">
        <x:v>2</x:v>
      </x:c>
      <x:c r="L14" s="2" t="str">
        <x:v>교육용 가상자료</x:v>
      </x:c>
    </x:row>
    <x:row r="15" ht="27" customHeight="1">
      <x:c r="A15" s="2" t="str">
        <x:v>SIM-2025-0010</x:v>
      </x:c>
      <x:c r="B15" s="2" t="str">
        <x:v>2025-01-03</x:v>
      </x:c>
      <x:c r="C15" s="2" t="n">
        <x:v>1</x:v>
      </x:c>
      <x:c r="D15" s="2" t="str">
        <x:v>가상 자료정비팀</x:v>
      </x:c>
      <x:c r="E15" s="2" t="str">
        <x:v>안내자료제작</x:v>
      </x:c>
      <x:c r="F15" s="2" t="str">
        <x:v>제한경쟁</x:v>
      </x:c>
      <x:c r="G15" s="2" t="str">
        <x:v>안내자료제작 가상 과제 010</x:v>
      </x:c>
      <x:c r="H15" s="2" t="str">
        <x:v>가상업체10</x:v>
      </x:c>
      <x:c r="I15" s="5" t="n">
        <x:v>62000000</x:v>
      </x:c>
      <x:c r="J15" s="2" t="str">
        <x:v>완료</x:v>
      </x:c>
      <x:c r="K15" s="2" t="n">
        <x:v>3</x:v>
      </x:c>
      <x:c r="L15" s="2" t="str">
        <x:v>교육용 가상자료</x:v>
      </x:c>
    </x:row>
    <x:row r="16" ht="27" customHeight="1">
      <x:c r="A16" s="2" t="str">
        <x:v>SIM-2025-0011</x:v>
      </x:c>
      <x:c r="B16" s="2" t="str">
        <x:v>2025-01-05</x:v>
      </x:c>
      <x:c r="C16" s="2" t="n">
        <x:v>1</x:v>
      </x:c>
      <x:c r="D16" s="2" t="str">
        <x:v>가상 설비지원팀</x:v>
      </x:c>
      <x:c r="E16" s="2" t="str">
        <x:v>업무교육</x:v>
      </x:c>
      <x:c r="F16" s="2" t="str">
        <x:v>일반경쟁</x:v>
      </x:c>
      <x:c r="G16" s="2" t="str">
        <x:v>업무교육 가상 과제 011</x:v>
      </x:c>
      <x:c r="H16" s="2" t="str">
        <x:v>가상업체11</x:v>
      </x:c>
      <x:c r="I16" s="5" t="n">
        <x:v>40000000</x:v>
      </x:c>
      <x:c r="J16" s="2" t="str">
        <x:v>완료</x:v>
      </x:c>
      <x:c r="K16" s="2" t="n">
        <x:v>0</x:v>
      </x:c>
      <x:c r="L16" s="2" t="str">
        <x:v>교육용 가상자료</x:v>
      </x:c>
    </x:row>
    <x:row r="17" ht="27" customHeight="1">
      <x:c r="A17" s="2" t="str">
        <x:v>SIM-2025-0012</x:v>
      </x:c>
      <x:c r="B17" s="2" t="str">
        <x:v>2025-01-08</x:v>
      </x:c>
      <x:c r="C17" s="2" t="n">
        <x:v>1</x:v>
      </x:c>
      <x:c r="D17" s="2" t="str">
        <x:v>가상 고객안내팀</x:v>
      </x:c>
      <x:c r="E17" s="2" t="str">
        <x:v>기록정비지원</x:v>
      </x:c>
      <x:c r="F17" s="2" t="str">
        <x:v>수의계약</x:v>
      </x:c>
      <x:c r="G17" s="2" t="str">
        <x:v>기록정비지원 가상 과제 012</x:v>
      </x:c>
      <x:c r="H17" s="2" t="str">
        <x:v>가상업체12</x:v>
      </x:c>
      <x:c r="I17" s="5" t="n">
        <x:v>18000000</x:v>
      </x:c>
      <x:c r="J17" s="2" t="str">
        <x:v>완료</x:v>
      </x:c>
      <x:c r="K17" s="2" t="n">
        <x:v>2</x:v>
      </x:c>
      <x:c r="L17" s="2" t="str">
        <x:v>교육용 가상자료</x:v>
      </x:c>
    </x:row>
    <x:row r="18" ht="27" customHeight="1">
      <x:c r="A18" s="2" t="str">
        <x:v>SIM-2025-0013</x:v>
      </x:c>
      <x:c r="B18" s="2" t="str">
        <x:v>2025-01-04</x:v>
      </x:c>
      <x:c r="C18" s="2" t="n">
        <x:v>1</x:v>
      </x:c>
      <x:c r="D18" s="2" t="str">
        <x:v>가상 업무교육팀</x:v>
      </x:c>
      <x:c r="E18" s="2" t="str">
        <x:v>설비점검지원</x:v>
      </x:c>
      <x:c r="F18" s="2" t="str">
        <x:v>수의계약</x:v>
      </x:c>
      <x:c r="G18" s="2" t="str">
        <x:v>설비점검지원 가상 과제 013</x:v>
      </x:c>
      <x:c r="H18" s="2" t="str">
        <x:v>가상업체13</x:v>
      </x:c>
      <x:c r="I18" s="5" t="n">
        <x:v>75000000</x:v>
      </x:c>
      <x:c r="J18" s="2" t="str">
        <x:v>완료</x:v>
      </x:c>
      <x:c r="K18" s="2" t="n">
        <x:v>2</x:v>
      </x:c>
      <x:c r="L18" s="2" t="str">
        <x:v>교육용 가상자료</x:v>
      </x:c>
    </x:row>
    <x:row r="19" ht="27" customHeight="1">
      <x:c r="A19" s="2" t="str">
        <x:v>SIM-2025-0014</x:v>
      </x:c>
      <x:c r="B19" s="2" t="str">
        <x:v>2025-01-26</x:v>
      </x:c>
      <x:c r="C19" s="2" t="n">
        <x:v>1</x:v>
      </x:c>
      <x:c r="D19" s="2" t="str">
        <x:v>가상 사업관리팀</x:v>
      </x:c>
      <x:c r="E19" s="2" t="str">
        <x:v>안내자료제작</x:v>
      </x:c>
      <x:c r="F19" s="2" t="str">
        <x:v>일반경쟁</x:v>
      </x:c>
      <x:c r="G19" s="2" t="str">
        <x:v>안내자료제작 가상 과제 014</x:v>
      </x:c>
      <x:c r="H19" s="2" t="str">
        <x:v>가상업체14</x:v>
      </x:c>
      <x:c r="I19" s="5" t="n">
        <x:v>61000000</x:v>
      </x:c>
      <x:c r="J19" s="2" t="str">
        <x:v>완료</x:v>
      </x:c>
      <x:c r="K19" s="2" t="n">
        <x:v>1</x:v>
      </x:c>
      <x:c r="L19" s="2" t="str">
        <x:v>교육용 가상자료</x:v>
      </x:c>
    </x:row>
    <x:row r="20" ht="27" customHeight="1">
      <x:c r="A20" s="2" t="str">
        <x:v>SIM-2025-0015</x:v>
      </x:c>
      <x:c r="B20" s="2" t="str">
        <x:v>2025-01-07</x:v>
      </x:c>
      <x:c r="C20" s="2" t="n">
        <x:v>1</x:v>
      </x:c>
      <x:c r="D20" s="2" t="str">
        <x:v>가상 자료정비팀</x:v>
      </x:c>
      <x:c r="E20" s="2" t="str">
        <x:v>업무교육</x:v>
      </x:c>
      <x:c r="F20" s="2" t="str">
        <x:v>제한경쟁</x:v>
      </x:c>
      <x:c r="G20" s="2" t="str">
        <x:v>업무교육 가상 과제 015</x:v>
      </x:c>
      <x:c r="H20" s="2" t="str">
        <x:v>가상업체15</x:v>
      </x:c>
      <x:c r="I20" s="5" t="n">
        <x:v>69000000</x:v>
      </x:c>
      <x:c r="J20" s="2" t="str">
        <x:v>완료</x:v>
      </x:c>
      <x:c r="K20" s="2" t="n">
        <x:v>2</x:v>
      </x:c>
      <x:c r="L20" s="2" t="str">
        <x:v>교육용 가상자료</x:v>
      </x:c>
    </x:row>
    <x:row r="21" ht="27" customHeight="1">
      <x:c r="A21" s="2" t="str">
        <x:v>SIM-2025-0016</x:v>
      </x:c>
      <x:c r="B21" s="2" t="str">
        <x:v>2025-01-24</x:v>
      </x:c>
      <x:c r="C21" s="2" t="n">
        <x:v>1</x:v>
      </x:c>
      <x:c r="D21" s="2" t="str">
        <x:v>가상 설비지원팀</x:v>
      </x:c>
      <x:c r="E21" s="2" t="str">
        <x:v>기록정비지원</x:v>
      </x:c>
      <x:c r="F21" s="2" t="str">
        <x:v>수의계약</x:v>
      </x:c>
      <x:c r="G21" s="2" t="str">
        <x:v>기록정비지원 가상 과제 016</x:v>
      </x:c>
      <x:c r="H21" s="2" t="str">
        <x:v>가상업체16</x:v>
      </x:c>
      <x:c r="I21" s="5" t="n">
        <x:v>37000000</x:v>
      </x:c>
      <x:c r="J21" s="2" t="str">
        <x:v>완료</x:v>
      </x:c>
      <x:c r="K21" s="2" t="n">
        <x:v>3</x:v>
      </x:c>
      <x:c r="L21" s="2" t="str">
        <x:v>교육용 가상자료</x:v>
      </x:c>
    </x:row>
    <x:row r="22" ht="27" customHeight="1">
      <x:c r="A22" s="2" t="str">
        <x:v>SIM-2025-0017</x:v>
      </x:c>
      <x:c r="B22" s="2" t="str">
        <x:v>2025-01-20</x:v>
      </x:c>
      <x:c r="C22" s="2" t="n">
        <x:v>1</x:v>
      </x:c>
      <x:c r="D22" s="2" t="str">
        <x:v>가상 고객안내팀</x:v>
      </x:c>
      <x:c r="E22" s="2" t="str">
        <x:v>설비점검지원</x:v>
      </x:c>
      <x:c r="F22" s="2" t="str">
        <x:v>수의계약</x:v>
      </x:c>
      <x:c r="G22" s="2" t="str">
        <x:v>설비점검지원 가상 과제 017</x:v>
      </x:c>
      <x:c r="H22" s="2" t="str">
        <x:v>가상업체17</x:v>
      </x:c>
      <x:c r="I22" s="5" t="n">
        <x:v>74000000</x:v>
      </x:c>
      <x:c r="J22" s="2" t="str">
        <x:v>완료</x:v>
      </x:c>
      <x:c r="K22" s="2" t="n">
        <x:v>1</x:v>
      </x:c>
      <x:c r="L22" s="2" t="str">
        <x:v>교육용 가상자료</x:v>
      </x:c>
    </x:row>
    <x:row r="23" ht="27" customHeight="1">
      <x:c r="A23" s="2" t="str">
        <x:v>SIM-2025-0018</x:v>
      </x:c>
      <x:c r="B23" s="2" t="str">
        <x:v>2025-01-06</x:v>
      </x:c>
      <x:c r="C23" s="2" t="n">
        <x:v>1</x:v>
      </x:c>
      <x:c r="D23" s="2" t="str">
        <x:v>가상 업무교육팀</x:v>
      </x:c>
      <x:c r="E23" s="2" t="str">
        <x:v>안내자료제작</x:v>
      </x:c>
      <x:c r="F23" s="2" t="str">
        <x:v>제한경쟁</x:v>
      </x:c>
      <x:c r="G23" s="2" t="str">
        <x:v>안내자료제작 가상 과제 018</x:v>
      </x:c>
      <x:c r="H23" s="2" t="str">
        <x:v>가상업체18</x:v>
      </x:c>
      <x:c r="I23" s="5" t="n">
        <x:v>23000000</x:v>
      </x:c>
      <x:c r="J23" s="2" t="str">
        <x:v>완료</x:v>
      </x:c>
      <x:c r="K23" s="2" t="n">
        <x:v>0</x:v>
      </x:c>
      <x:c r="L23" s="2" t="str">
        <x:v>교육용 가상자료</x:v>
      </x:c>
    </x:row>
    <x:row r="24" ht="27" customHeight="1">
      <x:c r="A24" s="2" t="str">
        <x:v>SIM-2025-0019</x:v>
      </x:c>
      <x:c r="B24" s="2" t="str">
        <x:v>2025-01-21</x:v>
      </x:c>
      <x:c r="C24" s="2" t="n">
        <x:v>1</x:v>
      </x:c>
      <x:c r="D24" s="2" t="str">
        <x:v>가상 사업관리팀</x:v>
      </x:c>
      <x:c r="E24" s="2" t="str">
        <x:v>업무교육</x:v>
      </x:c>
      <x:c r="F24" s="2" t="str">
        <x:v>제한경쟁</x:v>
      </x:c>
      <x:c r="G24" s="2" t="str">
        <x:v>업무교육 가상 과제 019</x:v>
      </x:c>
      <x:c r="H24" s="2" t="str">
        <x:v>가상업체19</x:v>
      </x:c>
      <x:c r="I24" s="5" t="n">
        <x:v>40000000</x:v>
      </x:c>
      <x:c r="J24" s="2" t="str">
        <x:v>완료</x:v>
      </x:c>
      <x:c r="K24" s="2" t="n">
        <x:v>2</x:v>
      </x:c>
      <x:c r="L24" s="2" t="str">
        <x:v>교육용 가상자료</x:v>
      </x:c>
    </x:row>
    <x:row r="25" ht="27" customHeight="1">
      <x:c r="A25" s="2" t="str">
        <x:v>SIM-2025-0020</x:v>
      </x:c>
      <x:c r="B25" s="2" t="str">
        <x:v>2025-01-09</x:v>
      </x:c>
      <x:c r="C25" s="2" t="n">
        <x:v>1</x:v>
      </x:c>
      <x:c r="D25" s="2" t="str">
        <x:v>가상 자료정비팀</x:v>
      </x:c>
      <x:c r="E25" s="2" t="str">
        <x:v>기록정비지원</x:v>
      </x:c>
      <x:c r="F25" s="2" t="str">
        <x:v>제한경쟁</x:v>
      </x:c>
      <x:c r="G25" s="2" t="str">
        <x:v>기록정비지원 가상 과제 020</x:v>
      </x:c>
      <x:c r="H25" s="2" t="str">
        <x:v>가상업체20</x:v>
      </x:c>
      <x:c r="I25" s="5" t="n">
        <x:v>53000000</x:v>
      </x:c>
      <x:c r="J25" s="2" t="str">
        <x:v>완료</x:v>
      </x:c>
      <x:c r="K25" s="2" t="n">
        <x:v>2</x:v>
      </x:c>
      <x:c r="L25" s="2" t="str">
        <x:v>교육용 가상자료</x:v>
      </x:c>
    </x:row>
    <x:row r="26" ht="27" customHeight="1">
      <x:c r="A26" s="2" t="str">
        <x:v>SIM-2025-0021</x:v>
      </x:c>
      <x:c r="B26" s="2" t="str">
        <x:v>2025-01-21</x:v>
      </x:c>
      <x:c r="C26" s="2" t="n">
        <x:v>1</x:v>
      </x:c>
      <x:c r="D26" s="2" t="str">
        <x:v>가상 설비지원팀</x:v>
      </x:c>
      <x:c r="E26" s="2" t="str">
        <x:v>설비점검지원</x:v>
      </x:c>
      <x:c r="F26" s="2" t="str">
        <x:v>제한경쟁</x:v>
      </x:c>
      <x:c r="G26" s="2" t="str">
        <x:v>설비점검지원 가상 과제 021</x:v>
      </x:c>
      <x:c r="H26" s="2" t="str">
        <x:v>가상업체21</x:v>
      </x:c>
      <x:c r="I26" s="5" t="n">
        <x:v>35000000</x:v>
      </x:c>
      <x:c r="J26" s="2" t="str">
        <x:v>완료</x:v>
      </x:c>
      <x:c r="K26" s="2" t="n">
        <x:v>2</x:v>
      </x:c>
      <x:c r="L26" s="2" t="str">
        <x:v>교육용 가상자료</x:v>
      </x:c>
    </x:row>
    <x:row r="27" ht="27" customHeight="1">
      <x:c r="A27" s="2" t="str">
        <x:v>SIM-2025-0022</x:v>
      </x:c>
      <x:c r="B27" s="2" t="str">
        <x:v>2025-01-16</x:v>
      </x:c>
      <x:c r="C27" s="2" t="n">
        <x:v>1</x:v>
      </x:c>
      <x:c r="D27" s="2" t="str">
        <x:v>가상 고객안내팀</x:v>
      </x:c>
      <x:c r="E27" s="2" t="str">
        <x:v>안내자료제작</x:v>
      </x:c>
      <x:c r="F27" s="2" t="str">
        <x:v>제한경쟁</x:v>
      </x:c>
      <x:c r="G27" s="2" t="str">
        <x:v>안내자료제작 가상 과제 022</x:v>
      </x:c>
      <x:c r="H27" s="2" t="str">
        <x:v>가상업체22</x:v>
      </x:c>
      <x:c r="I27" s="5" t="n">
        <x:v>54000000</x:v>
      </x:c>
      <x:c r="J27" s="2" t="str">
        <x:v>완료</x:v>
      </x:c>
      <x:c r="K27" s="2" t="n">
        <x:v>2</x:v>
      </x:c>
      <x:c r="L27" s="2" t="str">
        <x:v>교육용 가상자료</x:v>
      </x:c>
    </x:row>
    <x:row r="28" ht="27" customHeight="1">
      <x:c r="A28" s="2" t="str">
        <x:v>SIM-2025-0023</x:v>
      </x:c>
      <x:c r="B28" s="2" t="str">
        <x:v>2025-01-04</x:v>
      </x:c>
      <x:c r="C28" s="2" t="n">
        <x:v>1</x:v>
      </x:c>
      <x:c r="D28" s="2" t="str">
        <x:v>가상 업무교육팀</x:v>
      </x:c>
      <x:c r="E28" s="2" t="str">
        <x:v>업무교육</x:v>
      </x:c>
      <x:c r="F28" s="2" t="str">
        <x:v>수의계약</x:v>
      </x:c>
      <x:c r="G28" s="2" t="str">
        <x:v>업무교육 가상 과제 023</x:v>
      </x:c>
      <x:c r="H28" s="2" t="str">
        <x:v>가상업체23</x:v>
      </x:c>
      <x:c r="I28" s="5" t="n">
        <x:v>40000000</x:v>
      </x:c>
      <x:c r="J28" s="2" t="str">
        <x:v>완료</x:v>
      </x:c>
      <x:c r="K28" s="2" t="n">
        <x:v>3</x:v>
      </x:c>
      <x:c r="L28" s="2" t="str">
        <x:v>교육용 가상자료</x:v>
      </x:c>
    </x:row>
    <x:row r="29" ht="27" customHeight="1">
      <x:c r="A29" s="2" t="str">
        <x:v>SIM-2025-0024</x:v>
      </x:c>
      <x:c r="B29" s="2" t="str">
        <x:v>2025-01-24</x:v>
      </x:c>
      <x:c r="C29" s="2" t="n">
        <x:v>1</x:v>
      </x:c>
      <x:c r="D29" s="2" t="str">
        <x:v>가상 사업관리팀</x:v>
      </x:c>
      <x:c r="E29" s="2" t="str">
        <x:v>기록정비지원</x:v>
      </x:c>
      <x:c r="F29" s="2" t="str">
        <x:v>제한경쟁</x:v>
      </x:c>
      <x:c r="G29" s="2" t="str">
        <x:v>기록정비지원 가상 과제 024</x:v>
      </x:c>
      <x:c r="H29" s="2" t="str">
        <x:v>가상업체24</x:v>
      </x:c>
      <x:c r="I29" s="5" t="n">
        <x:v>53000000</x:v>
      </x:c>
      <x:c r="J29" s="2" t="str">
        <x:v>완료</x:v>
      </x:c>
      <x:c r="K29" s="2" t="n">
        <x:v>0</x:v>
      </x:c>
      <x:c r="L29" s="2" t="str">
        <x:v>교육용 가상자료</x:v>
      </x:c>
    </x:row>
    <x:row r="30" ht="27" customHeight="1">
      <x:c r="A30" s="2" t="str">
        <x:v>SIM-2025-0025</x:v>
      </x:c>
      <x:c r="B30" s="2" t="str">
        <x:v>2025-01-10</x:v>
      </x:c>
      <x:c r="C30" s="2" t="n">
        <x:v>1</x:v>
      </x:c>
      <x:c r="D30" s="2" t="str">
        <x:v>가상 자료정비팀</x:v>
      </x:c>
      <x:c r="E30" s="2" t="str">
        <x:v>설비점검지원</x:v>
      </x:c>
      <x:c r="F30" s="2" t="str">
        <x:v>제한경쟁</x:v>
      </x:c>
      <x:c r="G30" s="2" t="str">
        <x:v>설비점검지원 가상 과제 025</x:v>
      </x:c>
      <x:c r="H30" s="2" t="str">
        <x:v>가상업체01</x:v>
      </x:c>
      <x:c r="I30" s="5" t="n">
        <x:v>44000000</x:v>
      </x:c>
      <x:c r="J30" s="2" t="str">
        <x:v>완료</x:v>
      </x:c>
      <x:c r="K30" s="2" t="n">
        <x:v>2</x:v>
      </x:c>
      <x:c r="L30" s="2" t="str">
        <x:v>교육용 가상자료</x:v>
      </x:c>
    </x:row>
    <x:row r="31" ht="27" customHeight="1">
      <x:c r="A31" s="2" t="str">
        <x:v>SIM-2025-0026</x:v>
      </x:c>
      <x:c r="B31" s="2" t="str">
        <x:v>2025-02-04</x:v>
      </x:c>
      <x:c r="C31" s="2" t="n">
        <x:v>2</x:v>
      </x:c>
      <x:c r="D31" s="2" t="str">
        <x:v>가상 설비지원팀</x:v>
      </x:c>
      <x:c r="E31" s="2" t="str">
        <x:v>안내자료제작</x:v>
      </x:c>
      <x:c r="F31" s="2" t="str">
        <x:v>수의계약</x:v>
      </x:c>
      <x:c r="G31" s="2" t="str">
        <x:v>안내자료제작 가상 과제 026</x:v>
      </x:c>
      <x:c r="H31" s="2" t="str">
        <x:v>가상업체02</x:v>
      </x:c>
      <x:c r="I31" s="5" t="n">
        <x:v>53000000</x:v>
      </x:c>
      <x:c r="J31" s="2" t="str">
        <x:v>완료</x:v>
      </x:c>
      <x:c r="K31" s="2" t="n">
        <x:v>2</x:v>
      </x:c>
      <x:c r="L31" s="2" t="str">
        <x:v>교육용 가상자료</x:v>
      </x:c>
    </x:row>
    <x:row r="32" ht="27" customHeight="1">
      <x:c r="A32" s="2" t="str">
        <x:v>SIM-2025-0027</x:v>
      </x:c>
      <x:c r="B32" s="2" t="str">
        <x:v>2025-02-21</x:v>
      </x:c>
      <x:c r="C32" s="2" t="n">
        <x:v>2</x:v>
      </x:c>
      <x:c r="D32" s="2" t="str">
        <x:v>가상 고객안내팀</x:v>
      </x:c>
      <x:c r="E32" s="2" t="str">
        <x:v>업무교육</x:v>
      </x:c>
      <x:c r="F32" s="2" t="str">
        <x:v>제한경쟁</x:v>
      </x:c>
      <x:c r="G32" s="2" t="str">
        <x:v>업무교육 가상 과제 027</x:v>
      </x:c>
      <x:c r="H32" s="2" t="str">
        <x:v>가상업체03</x:v>
      </x:c>
      <x:c r="I32" s="5" t="n">
        <x:v>29000000</x:v>
      </x:c>
      <x:c r="J32" s="2" t="str">
        <x:v>완료</x:v>
      </x:c>
      <x:c r="K32" s="2" t="n">
        <x:v>3</x:v>
      </x:c>
      <x:c r="L32" s="2" t="str">
        <x:v>교육용 가상자료</x:v>
      </x:c>
    </x:row>
    <x:row r="33" ht="27" customHeight="1">
      <x:c r="A33" s="2" t="str">
        <x:v>SIM-2025-0028</x:v>
      </x:c>
      <x:c r="B33" s="2" t="str">
        <x:v>2025-02-03</x:v>
      </x:c>
      <x:c r="C33" s="2" t="n">
        <x:v>2</x:v>
      </x:c>
      <x:c r="D33" s="2" t="str">
        <x:v>가상 업무교육팀</x:v>
      </x:c>
      <x:c r="E33" s="2" t="str">
        <x:v>기록정비지원</x:v>
      </x:c>
      <x:c r="F33" s="2" t="str">
        <x:v>일반경쟁</x:v>
      </x:c>
      <x:c r="G33" s="2" t="str">
        <x:v>기록정비지원 가상 과제 028</x:v>
      </x:c>
      <x:c r="H33" s="2" t="str">
        <x:v>가상업체04</x:v>
      </x:c>
      <x:c r="I33" s="5" t="n">
        <x:v>34000000</x:v>
      </x:c>
      <x:c r="J33" s="2" t="str">
        <x:v>완료</x:v>
      </x:c>
      <x:c r="K33" s="2" t="n">
        <x:v>1</x:v>
      </x:c>
      <x:c r="L33" s="2" t="str">
        <x:v>교육용 가상자료</x:v>
      </x:c>
    </x:row>
    <x:row r="34" ht="27" customHeight="1">
      <x:c r="A34" s="2" t="str">
        <x:v>SIM-2025-0029</x:v>
      </x:c>
      <x:c r="B34" s="2" t="str">
        <x:v>2025-02-16</x:v>
      </x:c>
      <x:c r="C34" s="2" t="n">
        <x:v>2</x:v>
      </x:c>
      <x:c r="D34" s="2" t="str">
        <x:v>가상 사업관리팀</x:v>
      </x:c>
      <x:c r="E34" s="2" t="str">
        <x:v>설비점검지원</x:v>
      </x:c>
      <x:c r="F34" s="2" t="str">
        <x:v>제한경쟁</x:v>
      </x:c>
      <x:c r="G34" s="2" t="str">
        <x:v>설비점검지원 가상 과제 029</x:v>
      </x:c>
      <x:c r="H34" s="2" t="str">
        <x:v>가상업체05</x:v>
      </x:c>
      <x:c r="I34" s="5" t="n">
        <x:v>70000000</x:v>
      </x:c>
      <x:c r="J34" s="2" t="str">
        <x:v>완료</x:v>
      </x:c>
      <x:c r="K34" s="2" t="n">
        <x:v>2</x:v>
      </x:c>
      <x:c r="L34" s="2" t="str">
        <x:v>교육용 가상자료</x:v>
      </x:c>
    </x:row>
    <x:row r="35" ht="27" customHeight="1">
      <x:c r="A35" s="2" t="str">
        <x:v>SIM-2025-0030</x:v>
      </x:c>
      <x:c r="B35" s="2" t="str">
        <x:v>2025-02-01</x:v>
      </x:c>
      <x:c r="C35" s="2" t="n">
        <x:v>2</x:v>
      </x:c>
      <x:c r="D35" s="2" t="str">
        <x:v>가상 자료정비팀</x:v>
      </x:c>
      <x:c r="E35" s="2" t="str">
        <x:v>안내자료제작</x:v>
      </x:c>
      <x:c r="F35" s="2" t="str">
        <x:v>제한경쟁</x:v>
      </x:c>
      <x:c r="G35" s="2" t="str">
        <x:v>안내자료제작 가상 과제 030</x:v>
      </x:c>
      <x:c r="H35" s="2" t="str">
        <x:v>가상업체06</x:v>
      </x:c>
      <x:c r="I35" s="5" t="n">
        <x:v>60000000</x:v>
      </x:c>
      <x:c r="J35" s="2" t="str">
        <x:v>완료</x:v>
      </x:c>
      <x:c r="K35" s="2" t="n">
        <x:v>0</x:v>
      </x:c>
      <x:c r="L35" s="2" t="str">
        <x:v>교육용 가상자료</x:v>
      </x:c>
    </x:row>
    <x:row r="36" ht="27" customHeight="1">
      <x:c r="A36" s="2" t="str">
        <x:v>SIM-2025-0031</x:v>
      </x:c>
      <x:c r="B36" s="2" t="str">
        <x:v>2025-02-11</x:v>
      </x:c>
      <x:c r="C36" s="2" t="n">
        <x:v>2</x:v>
      </x:c>
      <x:c r="D36" s="2" t="str">
        <x:v>가상 설비지원팀</x:v>
      </x:c>
      <x:c r="E36" s="2" t="str">
        <x:v>업무교육</x:v>
      </x:c>
      <x:c r="F36" s="2" t="str">
        <x:v>제한경쟁</x:v>
      </x:c>
      <x:c r="G36" s="2" t="str">
        <x:v>업무교육 가상 과제 031</x:v>
      </x:c>
      <x:c r="H36" s="2" t="str">
        <x:v>가상업체07</x:v>
      </x:c>
      <x:c r="I36" s="5" t="n">
        <x:v>14000000</x:v>
      </x:c>
      <x:c r="J36" s="2" t="str">
        <x:v>완료</x:v>
      </x:c>
      <x:c r="K36" s="2" t="n">
        <x:v>1</x:v>
      </x:c>
      <x:c r="L36" s="2" t="str">
        <x:v>교육용 가상자료</x:v>
      </x:c>
    </x:row>
    <x:row r="37" ht="27" customHeight="1">
      <x:c r="A37" s="2" t="str">
        <x:v>SIM-2025-0032</x:v>
      </x:c>
      <x:c r="B37" s="2" t="str">
        <x:v>2025-02-19</x:v>
      </x:c>
      <x:c r="C37" s="2" t="n">
        <x:v>2</x:v>
      </x:c>
      <x:c r="D37" s="2" t="str">
        <x:v>가상 고객안내팀</x:v>
      </x:c>
      <x:c r="E37" s="2" t="str">
        <x:v>기록정비지원</x:v>
      </x:c>
      <x:c r="F37" s="2" t="str">
        <x:v>일반경쟁</x:v>
      </x:c>
      <x:c r="G37" s="2" t="str">
        <x:v>기록정비지원 가상 과제 032</x:v>
      </x:c>
      <x:c r="H37" s="2" t="str">
        <x:v>가상업체08</x:v>
      </x:c>
      <x:c r="I37" s="5" t="n">
        <x:v>71000000</x:v>
      </x:c>
      <x:c r="J37" s="2" t="str">
        <x:v>완료</x:v>
      </x:c>
      <x:c r="K37" s="2" t="n">
        <x:v>1</x:v>
      </x:c>
      <x:c r="L37" s="2" t="str">
        <x:v>교육용 가상자료</x:v>
      </x:c>
    </x:row>
    <x:row r="38" ht="27" customHeight="1">
      <x:c r="A38" s="2" t="str">
        <x:v>SIM-2025-0033</x:v>
      </x:c>
      <x:c r="B38" s="2" t="str">
        <x:v>2025-02-20</x:v>
      </x:c>
      <x:c r="C38" s="2" t="n">
        <x:v>2</x:v>
      </x:c>
      <x:c r="D38" s="2" t="str">
        <x:v>가상 업무교육팀</x:v>
      </x:c>
      <x:c r="E38" s="2" t="str">
        <x:v>설비점검지원</x:v>
      </x:c>
      <x:c r="F38" s="2" t="str">
        <x:v>수의계약</x:v>
      </x:c>
      <x:c r="G38" s="2" t="str">
        <x:v>설비점검지원 가상 과제 033</x:v>
      </x:c>
      <x:c r="H38" s="2" t="str">
        <x:v>가상업체09</x:v>
      </x:c>
      <x:c r="I38" s="5" t="n">
        <x:v>40000000</x:v>
      </x:c>
      <x:c r="J38" s="2" t="str">
        <x:v>완료</x:v>
      </x:c>
      <x:c r="K38" s="2" t="n">
        <x:v>2</x:v>
      </x:c>
      <x:c r="L38" s="2" t="str">
        <x:v>교육용 가상자료</x:v>
      </x:c>
    </x:row>
    <x:row r="39" ht="27" customHeight="1">
      <x:c r="A39" s="2" t="str">
        <x:v>SIM-2025-0034</x:v>
      </x:c>
      <x:c r="B39" s="2" t="str">
        <x:v>2025-02-04</x:v>
      </x:c>
      <x:c r="C39" s="2" t="n">
        <x:v>2</x:v>
      </x:c>
      <x:c r="D39" s="2" t="str">
        <x:v>가상 사업관리팀</x:v>
      </x:c>
      <x:c r="E39" s="2" t="str">
        <x:v>안내자료제작</x:v>
      </x:c>
      <x:c r="F39" s="2" t="str">
        <x:v>일반경쟁</x:v>
      </x:c>
      <x:c r="G39" s="2" t="str">
        <x:v>안내자료제작 가상 과제 034</x:v>
      </x:c>
      <x:c r="H39" s="2" t="str">
        <x:v>가상업체10</x:v>
      </x:c>
      <x:c r="I39" s="5" t="n">
        <x:v>39000000</x:v>
      </x:c>
      <x:c r="J39" s="2" t="str">
        <x:v>완료</x:v>
      </x:c>
      <x:c r="K39" s="2" t="n">
        <x:v>2</x:v>
      </x:c>
      <x:c r="L39" s="2" t="str">
        <x:v>교육용 가상자료</x:v>
      </x:c>
    </x:row>
    <x:row r="40" ht="27" customHeight="1">
      <x:c r="A40" s="2" t="str">
        <x:v>SIM-2025-0035</x:v>
      </x:c>
      <x:c r="B40" s="2" t="str">
        <x:v>2025-02-22</x:v>
      </x:c>
      <x:c r="C40" s="2" t="n">
        <x:v>2</x:v>
      </x:c>
      <x:c r="D40" s="2" t="str">
        <x:v>가상 자료정비팀</x:v>
      </x:c>
      <x:c r="E40" s="2" t="str">
        <x:v>업무교육</x:v>
      </x:c>
      <x:c r="F40" s="2" t="str">
        <x:v>제한경쟁</x:v>
      </x:c>
      <x:c r="G40" s="2" t="str">
        <x:v>업무교육 가상 과제 035</x:v>
      </x:c>
      <x:c r="H40" s="2" t="str">
        <x:v>가상업체11</x:v>
      </x:c>
      <x:c r="I40" s="5" t="n">
        <x:v>50000000</x:v>
      </x:c>
      <x:c r="J40" s="2" t="str">
        <x:v>완료</x:v>
      </x:c>
      <x:c r="K40" s="2" t="n">
        <x:v>1</x:v>
      </x:c>
      <x:c r="L40" s="2" t="str">
        <x:v>교육용 가상자료</x:v>
      </x:c>
    </x:row>
    <x:row r="41" ht="27" customHeight="1">
      <x:c r="A41" s="2" t="str">
        <x:v>SIM-2025-0036</x:v>
      </x:c>
      <x:c r="B41" s="2" t="str">
        <x:v>2025-02-03</x:v>
      </x:c>
      <x:c r="C41" s="2" t="n">
        <x:v>2</x:v>
      </x:c>
      <x:c r="D41" s="2" t="str">
        <x:v>가상 설비지원팀</x:v>
      </x:c>
      <x:c r="E41" s="2" t="str">
        <x:v>기록정비지원</x:v>
      </x:c>
      <x:c r="F41" s="2" t="str">
        <x:v>제한경쟁</x:v>
      </x:c>
      <x:c r="G41" s="2" t="str">
        <x:v>기록정비지원 가상 과제 036</x:v>
      </x:c>
      <x:c r="H41" s="2" t="str">
        <x:v>가상업체12</x:v>
      </x:c>
      <x:c r="I41" s="5" t="n">
        <x:v>19000000</x:v>
      </x:c>
      <x:c r="J41" s="2" t="str">
        <x:v>완료</x:v>
      </x:c>
      <x:c r="K41" s="2" t="n">
        <x:v>3</x:v>
      </x:c>
      <x:c r="L41" s="2" t="str">
        <x:v>교육용 가상자료</x:v>
      </x:c>
    </x:row>
    <x:row r="42" ht="27" customHeight="1">
      <x:c r="A42" s="2" t="str">
        <x:v>SIM-2025-0037</x:v>
      </x:c>
      <x:c r="B42" s="2" t="str">
        <x:v>2025-02-07</x:v>
      </x:c>
      <x:c r="C42" s="2" t="n">
        <x:v>2</x:v>
      </x:c>
      <x:c r="D42" s="2" t="str">
        <x:v>가상 고객안내팀</x:v>
      </x:c>
      <x:c r="E42" s="2" t="str">
        <x:v>설비점검지원</x:v>
      </x:c>
      <x:c r="F42" s="2" t="str">
        <x:v>제한경쟁</x:v>
      </x:c>
      <x:c r="G42" s="2" t="str">
        <x:v>설비점검지원 가상 과제 037</x:v>
      </x:c>
      <x:c r="H42" s="2" t="str">
        <x:v>가상업체13</x:v>
      </x:c>
      <x:c r="I42" s="5" t="n">
        <x:v>18000000</x:v>
      </x:c>
      <x:c r="J42" s="2" t="str">
        <x:v>완료</x:v>
      </x:c>
      <x:c r="K42" s="2" t="n">
        <x:v>1</x:v>
      </x:c>
      <x:c r="L42" s="2" t="str">
        <x:v>교육용 가상자료</x:v>
      </x:c>
    </x:row>
    <x:row r="43" ht="27" customHeight="1">
      <x:c r="A43" s="2" t="str">
        <x:v>SIM-2025-0038</x:v>
      </x:c>
      <x:c r="B43" s="2" t="str">
        <x:v>2025-02-16</x:v>
      </x:c>
      <x:c r="C43" s="2" t="n">
        <x:v>2</x:v>
      </x:c>
      <x:c r="D43" s="2" t="str">
        <x:v>가상 업무교육팀</x:v>
      </x:c>
      <x:c r="E43" s="2" t="str">
        <x:v>안내자료제작</x:v>
      </x:c>
      <x:c r="F43" s="2" t="str">
        <x:v>제한경쟁</x:v>
      </x:c>
      <x:c r="G43" s="2" t="str">
        <x:v>안내자료제작 가상 과제 038</x:v>
      </x:c>
      <x:c r="H43" s="2" t="str">
        <x:v>가상업체14</x:v>
      </x:c>
      <x:c r="I43" s="5" t="n">
        <x:v>52000000</x:v>
      </x:c>
      <x:c r="J43" s="2" t="str">
        <x:v>완료</x:v>
      </x:c>
      <x:c r="K43" s="2" t="n">
        <x:v>0</x:v>
      </x:c>
      <x:c r="L43" s="2" t="str">
        <x:v>교육용 가상자료</x:v>
      </x:c>
    </x:row>
    <x:row r="44" ht="27" customHeight="1">
      <x:c r="A44" s="2" t="str">
        <x:v>SIM-2025-0039</x:v>
      </x:c>
      <x:c r="B44" s="2" t="str">
        <x:v>2025-02-26</x:v>
      </x:c>
      <x:c r="C44" s="2" t="n">
        <x:v>2</x:v>
      </x:c>
      <x:c r="D44" s="2" t="str">
        <x:v>가상 사업관리팀</x:v>
      </x:c>
      <x:c r="E44" s="2" t="str">
        <x:v>업무교육</x:v>
      </x:c>
      <x:c r="F44" s="2" t="str">
        <x:v>수의계약</x:v>
      </x:c>
      <x:c r="G44" s="2" t="str">
        <x:v>업무교육 가상 과제 039</x:v>
      </x:c>
      <x:c r="H44" s="2" t="str">
        <x:v>가상업체15</x:v>
      </x:c>
      <x:c r="I44" s="5" t="n">
        <x:v>26000000</x:v>
      </x:c>
      <x:c r="J44" s="2" t="str">
        <x:v>완료</x:v>
      </x:c>
      <x:c r="K44" s="2" t="n">
        <x:v>3</x:v>
      </x:c>
      <x:c r="L44" s="2" t="str">
        <x:v>교육용 가상자료</x:v>
      </x:c>
    </x:row>
    <x:row r="45" ht="27" customHeight="1">
      <x:c r="A45" s="2" t="str">
        <x:v>SIM-2025-0040</x:v>
      </x:c>
      <x:c r="B45" s="2" t="str">
        <x:v>2025-02-01</x:v>
      </x:c>
      <x:c r="C45" s="2" t="n">
        <x:v>2</x:v>
      </x:c>
      <x:c r="D45" s="2" t="str">
        <x:v>가상 자료정비팀</x:v>
      </x:c>
      <x:c r="E45" s="2" t="str">
        <x:v>기록정비지원</x:v>
      </x:c>
      <x:c r="F45" s="2" t="str">
        <x:v>수의계약</x:v>
      </x:c>
      <x:c r="G45" s="2" t="str">
        <x:v>기록정비지원 가상 과제 040</x:v>
      </x:c>
      <x:c r="H45" s="2" t="str">
        <x:v>가상업체16</x:v>
      </x:c>
      <x:c r="I45" s="5" t="n">
        <x:v>27000000</x:v>
      </x:c>
      <x:c r="J45" s="2" t="str">
        <x:v>완료</x:v>
      </x:c>
      <x:c r="K45" s="2" t="n">
        <x:v>1</x:v>
      </x:c>
      <x:c r="L45" s="2" t="str">
        <x:v>교육용 가상자료</x:v>
      </x:c>
    </x:row>
    <x:row r="46" ht="27" customHeight="1">
      <x:c r="A46" s="2" t="str">
        <x:v>SIM-2025-0041</x:v>
      </x:c>
      <x:c r="B46" s="2" t="str">
        <x:v>2025-02-13</x:v>
      </x:c>
      <x:c r="C46" s="2" t="n">
        <x:v>2</x:v>
      </x:c>
      <x:c r="D46" s="2" t="str">
        <x:v>가상 설비지원팀</x:v>
      </x:c>
      <x:c r="E46" s="2" t="str">
        <x:v>설비점검지원</x:v>
      </x:c>
      <x:c r="F46" s="2" t="str">
        <x:v>일반경쟁</x:v>
      </x:c>
      <x:c r="G46" s="2" t="str">
        <x:v>설비점검지원 가상 과제 041</x:v>
      </x:c>
      <x:c r="H46" s="2" t="str">
        <x:v>가상업체17</x:v>
      </x:c>
      <x:c r="I46" s="5" t="n">
        <x:v>22000000</x:v>
      </x:c>
      <x:c r="J46" s="2" t="str">
        <x:v>완료</x:v>
      </x:c>
      <x:c r="K46" s="2" t="n">
        <x:v>1</x:v>
      </x:c>
      <x:c r="L46" s="2" t="str">
        <x:v>교육용 가상자료</x:v>
      </x:c>
    </x:row>
    <x:row r="47" ht="27" customHeight="1">
      <x:c r="A47" s="2" t="str">
        <x:v>SIM-2025-0042</x:v>
      </x:c>
      <x:c r="B47" s="2" t="str">
        <x:v>2025-02-15</x:v>
      </x:c>
      <x:c r="C47" s="2" t="n">
        <x:v>2</x:v>
      </x:c>
      <x:c r="D47" s="2" t="str">
        <x:v>가상 고객안내팀</x:v>
      </x:c>
      <x:c r="E47" s="2" t="str">
        <x:v>안내자료제작</x:v>
      </x:c>
      <x:c r="F47" s="2" t="str">
        <x:v>제한경쟁</x:v>
      </x:c>
      <x:c r="G47" s="2" t="str">
        <x:v>안내자료제작 가상 과제 042</x:v>
      </x:c>
      <x:c r="H47" s="2" t="str">
        <x:v>가상업체18</x:v>
      </x:c>
      <x:c r="I47" s="5" t="n">
        <x:v>39000000</x:v>
      </x:c>
      <x:c r="J47" s="2" t="str">
        <x:v>완료</x:v>
      </x:c>
      <x:c r="K47" s="2" t="n">
        <x:v>3</x:v>
      </x:c>
      <x:c r="L47" s="2" t="str">
        <x:v>교육용 가상자료</x:v>
      </x:c>
    </x:row>
    <x:row r="48" ht="27" customHeight="1">
      <x:c r="A48" s="2" t="str">
        <x:v>SIM-2025-0043</x:v>
      </x:c>
      <x:c r="B48" s="2" t="str">
        <x:v>2025-02-21</x:v>
      </x:c>
      <x:c r="C48" s="2" t="n">
        <x:v>2</x:v>
      </x:c>
      <x:c r="D48" s="2" t="str">
        <x:v>가상 업무교육팀</x:v>
      </x:c>
      <x:c r="E48" s="2" t="str">
        <x:v>업무교육</x:v>
      </x:c>
      <x:c r="F48" s="2" t="str">
        <x:v>일반경쟁</x:v>
      </x:c>
      <x:c r="G48" s="2" t="str">
        <x:v>업무교육 가상 과제 043</x:v>
      </x:c>
      <x:c r="H48" s="2" t="str">
        <x:v>가상업체19</x:v>
      </x:c>
      <x:c r="I48" s="5" t="n">
        <x:v>25000000</x:v>
      </x:c>
      <x:c r="J48" s="2" t="str">
        <x:v>완료</x:v>
      </x:c>
      <x:c r="K48" s="2" t="n">
        <x:v>1</x:v>
      </x:c>
      <x:c r="L48" s="2" t="str">
        <x:v>교육용 가상자료</x:v>
      </x:c>
    </x:row>
    <x:row r="49" ht="27" customHeight="1">
      <x:c r="A49" s="2" t="str">
        <x:v>SIM-2025-0044</x:v>
      </x:c>
      <x:c r="B49" s="2" t="str">
        <x:v>2025-02-22</x:v>
      </x:c>
      <x:c r="C49" s="2" t="n">
        <x:v>2</x:v>
      </x:c>
      <x:c r="D49" s="2" t="str">
        <x:v>가상 사업관리팀</x:v>
      </x:c>
      <x:c r="E49" s="2" t="str">
        <x:v>기록정비지원</x:v>
      </x:c>
      <x:c r="F49" s="2" t="str">
        <x:v>제한경쟁</x:v>
      </x:c>
      <x:c r="G49" s="2" t="str">
        <x:v>기록정비지원 가상 과제 044</x:v>
      </x:c>
      <x:c r="H49" s="2" t="str">
        <x:v>가상업체20</x:v>
      </x:c>
      <x:c r="I49" s="5" t="n">
        <x:v>8000000</x:v>
      </x:c>
      <x:c r="J49" s="2" t="str">
        <x:v>완료</x:v>
      </x:c>
      <x:c r="K49" s="2" t="n">
        <x:v>3</x:v>
      </x:c>
      <x:c r="L49" s="2" t="str">
        <x:v>교육용 가상자료</x:v>
      </x:c>
    </x:row>
    <x:row r="50" ht="27" customHeight="1">
      <x:c r="A50" s="2" t="str">
        <x:v>SIM-2025-0045</x:v>
      </x:c>
      <x:c r="B50" s="2" t="str">
        <x:v>2025-02-02</x:v>
      </x:c>
      <x:c r="C50" s="2" t="n">
        <x:v>2</x:v>
      </x:c>
      <x:c r="D50" s="2" t="str">
        <x:v>가상 자료정비팀</x:v>
      </x:c>
      <x:c r="E50" s="2" t="str">
        <x:v>설비점검지원</x:v>
      </x:c>
      <x:c r="F50" s="2" t="str">
        <x:v>제한경쟁</x:v>
      </x:c>
      <x:c r="G50" s="2" t="str">
        <x:v>설비점검지원 가상 과제 045</x:v>
      </x:c>
      <x:c r="H50" s="2" t="str">
        <x:v>가상업체21</x:v>
      </x:c>
      <x:c r="I50" s="5" t="n">
        <x:v>43000000</x:v>
      </x:c>
      <x:c r="J50" s="2" t="str">
        <x:v>완료</x:v>
      </x:c>
      <x:c r="K50" s="2" t="n">
        <x:v>1</x:v>
      </x:c>
      <x:c r="L50" s="2" t="str">
        <x:v>교육용 가상자료</x:v>
      </x:c>
    </x:row>
    <x:row r="51" ht="27" customHeight="1">
      <x:c r="A51" s="2" t="str">
        <x:v>SIM-2025-0046</x:v>
      </x:c>
      <x:c r="B51" s="2" t="str">
        <x:v>2025-02-07</x:v>
      </x:c>
      <x:c r="C51" s="2" t="n">
        <x:v>2</x:v>
      </x:c>
      <x:c r="D51" s="2" t="str">
        <x:v>가상 설비지원팀</x:v>
      </x:c>
      <x:c r="E51" s="2" t="str">
        <x:v>안내자료제작</x:v>
      </x:c>
      <x:c r="F51" s="2" t="str">
        <x:v>제한경쟁</x:v>
      </x:c>
      <x:c r="G51" s="2" t="str">
        <x:v>안내자료제작 가상 과제 046</x:v>
      </x:c>
      <x:c r="H51" s="2" t="str">
        <x:v>가상업체22</x:v>
      </x:c>
      <x:c r="I51" s="5" t="n">
        <x:v>11000000</x:v>
      </x:c>
      <x:c r="J51" s="2" t="str">
        <x:v>완료</x:v>
      </x:c>
      <x:c r="K51" s="2" t="n">
        <x:v>2</x:v>
      </x:c>
      <x:c r="L51" s="2" t="str">
        <x:v>교육용 가상자료</x:v>
      </x:c>
    </x:row>
    <x:row r="52" ht="27" customHeight="1">
      <x:c r="A52" s="2" t="str">
        <x:v>SIM-2025-0047</x:v>
      </x:c>
      <x:c r="B52" s="2" t="str">
        <x:v>2025-02-11</x:v>
      </x:c>
      <x:c r="C52" s="2" t="n">
        <x:v>2</x:v>
      </x:c>
      <x:c r="D52" s="2" t="str">
        <x:v>가상 고객안내팀</x:v>
      </x:c>
      <x:c r="E52" s="2" t="str">
        <x:v>업무교육</x:v>
      </x:c>
      <x:c r="F52" s="2" t="str">
        <x:v>일반경쟁</x:v>
      </x:c>
      <x:c r="G52" s="2" t="str">
        <x:v>업무교육 가상 과제 047</x:v>
      </x:c>
      <x:c r="H52" s="2" t="str">
        <x:v>가상업체23</x:v>
      </x:c>
      <x:c r="I52" s="5" t="n">
        <x:v>43000000</x:v>
      </x:c>
      <x:c r="J52" s="2" t="str">
        <x:v>완료</x:v>
      </x:c>
      <x:c r="K52" s="2" t="n">
        <x:v>2</x:v>
      </x:c>
      <x:c r="L52" s="2" t="str">
        <x:v>교육용 가상자료</x:v>
      </x:c>
    </x:row>
    <x:row r="53" ht="27" customHeight="1">
      <x:c r="A53" s="2" t="str">
        <x:v>SIM-2025-0048</x:v>
      </x:c>
      <x:c r="B53" s="2" t="str">
        <x:v>2025-02-12</x:v>
      </x:c>
      <x:c r="C53" s="2" t="n">
        <x:v>2</x:v>
      </x:c>
      <x:c r="D53" s="2" t="str">
        <x:v>가상 업무교육팀</x:v>
      </x:c>
      <x:c r="E53" s="2" t="str">
        <x:v>기록정비지원</x:v>
      </x:c>
      <x:c r="F53" s="2" t="str">
        <x:v>수의계약</x:v>
      </x:c>
      <x:c r="G53" s="2" t="str">
        <x:v>기록정비지원 가상 과제 048</x:v>
      </x:c>
      <x:c r="H53" s="2" t="str">
        <x:v>가상업체24</x:v>
      </x:c>
      <x:c r="I53" s="5" t="n">
        <x:v>10000000</x:v>
      </x:c>
      <x:c r="J53" s="2" t="str">
        <x:v>완료</x:v>
      </x:c>
      <x:c r="K53" s="2" t="n">
        <x:v>2</x:v>
      </x:c>
      <x:c r="L53" s="2" t="str">
        <x:v>교육용 가상자료</x:v>
      </x:c>
    </x:row>
    <x:row r="54" ht="27" customHeight="1">
      <x:c r="A54" s="2" t="str">
        <x:v>SIM-2025-0049</x:v>
      </x:c>
      <x:c r="B54" s="2" t="str">
        <x:v>2025-02-04</x:v>
      </x:c>
      <x:c r="C54" s="2" t="n">
        <x:v>2</x:v>
      </x:c>
      <x:c r="D54" s="2" t="str">
        <x:v>가상 사업관리팀</x:v>
      </x:c>
      <x:c r="E54" s="2" t="str">
        <x:v>설비점검지원</x:v>
      </x:c>
      <x:c r="F54" s="2" t="str">
        <x:v>제한경쟁</x:v>
      </x:c>
      <x:c r="G54" s="2" t="str">
        <x:v>설비점검지원 가상 과제 049</x:v>
      </x:c>
      <x:c r="H54" s="2" t="str">
        <x:v>가상업체01</x:v>
      </x:c>
      <x:c r="I54" s="5" t="n">
        <x:v>49000000</x:v>
      </x:c>
      <x:c r="J54" s="2" t="str">
        <x:v>완료</x:v>
      </x:c>
      <x:c r="K54" s="2" t="n">
        <x:v>3</x:v>
      </x:c>
      <x:c r="L54" s="2" t="str">
        <x:v>교육용 가상자료</x:v>
      </x:c>
    </x:row>
    <x:row r="55" ht="27" customHeight="1">
      <x:c r="A55" s="2" t="str">
        <x:v>SIM-2025-0050</x:v>
      </x:c>
      <x:c r="B55" s="2" t="str">
        <x:v>2025-02-22</x:v>
      </x:c>
      <x:c r="C55" s="2" t="n">
        <x:v>2</x:v>
      </x:c>
      <x:c r="D55" s="2" t="str">
        <x:v>가상 자료정비팀</x:v>
      </x:c>
      <x:c r="E55" s="2" t="str">
        <x:v>안내자료제작</x:v>
      </x:c>
      <x:c r="F55" s="2" t="str">
        <x:v>일반경쟁</x:v>
      </x:c>
      <x:c r="G55" s="2" t="str">
        <x:v>안내자료제작 가상 과제 050</x:v>
      </x:c>
      <x:c r="H55" s="2" t="str">
        <x:v>가상업체02</x:v>
      </x:c>
      <x:c r="I55" s="5" t="n">
        <x:v>23000000</x:v>
      </x:c>
      <x:c r="J55" s="2" t="str">
        <x:v>완료</x:v>
      </x:c>
      <x:c r="K55" s="2" t="n">
        <x:v>1</x:v>
      </x:c>
      <x:c r="L55" s="2" t="str">
        <x:v>교육용 가상자료</x:v>
      </x:c>
    </x:row>
    <x:row r="56" ht="27" customHeight="1">
      <x:c r="A56" s="2" t="str">
        <x:v>SIM-2025-0051</x:v>
      </x:c>
      <x:c r="B56" s="2" t="str">
        <x:v>2025-03-14</x:v>
      </x:c>
      <x:c r="C56" s="2" t="n">
        <x:v>3</x:v>
      </x:c>
      <x:c r="D56" s="2" t="str">
        <x:v>가상 설비지원팀</x:v>
      </x:c>
      <x:c r="E56" s="2" t="str">
        <x:v>업무교육</x:v>
      </x:c>
      <x:c r="F56" s="2" t="str">
        <x:v>일반경쟁</x:v>
      </x:c>
      <x:c r="G56" s="2" t="str">
        <x:v>업무교육 가상 과제 051</x:v>
      </x:c>
      <x:c r="H56" s="2" t="str">
        <x:v>가상업체03</x:v>
      </x:c>
      <x:c r="I56" s="5" t="n">
        <x:v>41000000</x:v>
      </x:c>
      <x:c r="J56" s="2" t="str">
        <x:v>완료</x:v>
      </x:c>
      <x:c r="K56" s="2" t="n">
        <x:v>2</x:v>
      </x:c>
      <x:c r="L56" s="2" t="str">
        <x:v>교육용 가상자료</x:v>
      </x:c>
    </x:row>
    <x:row r="57" ht="27" customHeight="1">
      <x:c r="A57" s="2" t="str">
        <x:v>SIM-2025-0052</x:v>
      </x:c>
      <x:c r="B57" s="2" t="str">
        <x:v>2025-03-11</x:v>
      </x:c>
      <x:c r="C57" s="2" t="n">
        <x:v>3</x:v>
      </x:c>
      <x:c r="D57" s="2" t="str">
        <x:v>가상 고객안내팀</x:v>
      </x:c>
      <x:c r="E57" s="2" t="str">
        <x:v>기록정비지원</x:v>
      </x:c>
      <x:c r="F57" s="2" t="str">
        <x:v>제한경쟁</x:v>
      </x:c>
      <x:c r="G57" s="2" t="str">
        <x:v>기록정비지원 가상 과제 052</x:v>
      </x:c>
      <x:c r="H57" s="2" t="str">
        <x:v>가상업체04</x:v>
      </x:c>
      <x:c r="I57" s="5" t="n">
        <x:v>73000000</x:v>
      </x:c>
      <x:c r="J57" s="2" t="str">
        <x:v>완료</x:v>
      </x:c>
      <x:c r="K57" s="2" t="n">
        <x:v>2</x:v>
      </x:c>
      <x:c r="L57" s="2" t="str">
        <x:v>교육용 가상자료</x:v>
      </x:c>
    </x:row>
    <x:row r="58" ht="27" customHeight="1">
      <x:c r="A58" s="2" t="str">
        <x:v>SIM-2025-0053</x:v>
      </x:c>
      <x:c r="B58" s="2" t="str">
        <x:v>2025-03-12</x:v>
      </x:c>
      <x:c r="C58" s="2" t="n">
        <x:v>3</x:v>
      </x:c>
      <x:c r="D58" s="2" t="str">
        <x:v>가상 업무교육팀</x:v>
      </x:c>
      <x:c r="E58" s="2" t="str">
        <x:v>설비점검지원</x:v>
      </x:c>
      <x:c r="F58" s="2" t="str">
        <x:v>제한경쟁</x:v>
      </x:c>
      <x:c r="G58" s="2" t="str">
        <x:v>설비점검지원 가상 과제 053</x:v>
      </x:c>
      <x:c r="H58" s="2" t="str">
        <x:v>가상업체05</x:v>
      </x:c>
      <x:c r="I58" s="5" t="n">
        <x:v>30000000</x:v>
      </x:c>
      <x:c r="J58" s="2" t="str">
        <x:v>완료</x:v>
      </x:c>
      <x:c r="K58" s="2" t="n">
        <x:v>1</x:v>
      </x:c>
      <x:c r="L58" s="2" t="str">
        <x:v>교육용 가상자료</x:v>
      </x:c>
    </x:row>
    <x:row r="59" ht="27" customHeight="1">
      <x:c r="A59" s="2" t="str">
        <x:v>SIM-2025-0054</x:v>
      </x:c>
      <x:c r="B59" s="2" t="str">
        <x:v>2025-03-24</x:v>
      </x:c>
      <x:c r="C59" s="2" t="n">
        <x:v>3</x:v>
      </x:c>
      <x:c r="D59" s="2" t="str">
        <x:v>가상 사업관리팀</x:v>
      </x:c>
      <x:c r="E59" s="2" t="str">
        <x:v>안내자료제작</x:v>
      </x:c>
      <x:c r="F59" s="2" t="str">
        <x:v>수의계약</x:v>
      </x:c>
      <x:c r="G59" s="2" t="str">
        <x:v>안내자료제작 가상 과제 054</x:v>
      </x:c>
      <x:c r="H59" s="2" t="str">
        <x:v>가상업체06</x:v>
      </x:c>
      <x:c r="I59" s="5" t="n">
        <x:v>40000000</x:v>
      </x:c>
      <x:c r="J59" s="2" t="str">
        <x:v>완료</x:v>
      </x:c>
      <x:c r="K59" s="2" t="n">
        <x:v>0</x:v>
      </x:c>
      <x:c r="L59" s="2" t="str">
        <x:v>교육용 가상자료</x:v>
      </x:c>
    </x:row>
    <x:row r="60" ht="27" customHeight="1">
      <x:c r="A60" s="2" t="str">
        <x:v>SIM-2025-0055</x:v>
      </x:c>
      <x:c r="B60" s="2" t="str">
        <x:v>2025-03-02</x:v>
      </x:c>
      <x:c r="C60" s="2" t="n">
        <x:v>3</x:v>
      </x:c>
      <x:c r="D60" s="2" t="str">
        <x:v>가상 자료정비팀</x:v>
      </x:c>
      <x:c r="E60" s="2" t="str">
        <x:v>업무교육</x:v>
      </x:c>
      <x:c r="F60" s="2" t="str">
        <x:v>일반경쟁</x:v>
      </x:c>
      <x:c r="G60" s="2" t="str">
        <x:v>업무교육 가상 과제 055</x:v>
      </x:c>
      <x:c r="H60" s="2" t="str">
        <x:v>가상업체07</x:v>
      </x:c>
      <x:c r="I60" s="5" t="n">
        <x:v>16000000</x:v>
      </x:c>
      <x:c r="J60" s="2" t="str">
        <x:v>완료</x:v>
      </x:c>
      <x:c r="K60" s="2" t="n">
        <x:v>0</x:v>
      </x:c>
      <x:c r="L60" s="2" t="str">
        <x:v>교육용 가상자료</x:v>
      </x:c>
    </x:row>
    <x:row r="61" ht="27" customHeight="1">
      <x:c r="A61" s="2" t="str">
        <x:v>SIM-2025-0056</x:v>
      </x:c>
      <x:c r="B61" s="2" t="str">
        <x:v>2025-03-05</x:v>
      </x:c>
      <x:c r="C61" s="2" t="n">
        <x:v>3</x:v>
      </x:c>
      <x:c r="D61" s="2" t="str">
        <x:v>가상 설비지원팀</x:v>
      </x:c>
      <x:c r="E61" s="2" t="str">
        <x:v>기록정비지원</x:v>
      </x:c>
      <x:c r="F61" s="2" t="str">
        <x:v>수의계약</x:v>
      </x:c>
      <x:c r="G61" s="2" t="str">
        <x:v>기록정비지원 가상 과제 056</x:v>
      </x:c>
      <x:c r="H61" s="2" t="str">
        <x:v>가상업체08</x:v>
      </x:c>
      <x:c r="I61" s="5" t="n">
        <x:v>41000000</x:v>
      </x:c>
      <x:c r="J61" s="2" t="str">
        <x:v>완료</x:v>
      </x:c>
      <x:c r="K61" s="2" t="n">
        <x:v>3</x:v>
      </x:c>
      <x:c r="L61" s="2" t="str">
        <x:v>교육용 가상자료</x:v>
      </x:c>
    </x:row>
    <x:row r="62" ht="27" customHeight="1">
      <x:c r="A62" s="2" t="str">
        <x:v>SIM-2025-0057</x:v>
      </x:c>
      <x:c r="B62" s="2" t="str">
        <x:v>2025-03-03</x:v>
      </x:c>
      <x:c r="C62" s="2" t="n">
        <x:v>3</x:v>
      </x:c>
      <x:c r="D62" s="2" t="str">
        <x:v>가상 고객안내팀</x:v>
      </x:c>
      <x:c r="E62" s="2" t="str">
        <x:v>설비점검지원</x:v>
      </x:c>
      <x:c r="F62" s="2" t="str">
        <x:v>수의계약</x:v>
      </x:c>
      <x:c r="G62" s="2" t="str">
        <x:v>설비점검지원 가상 과제 057</x:v>
      </x:c>
      <x:c r="H62" s="2" t="str">
        <x:v>가상업체09</x:v>
      </x:c>
      <x:c r="I62" s="5" t="n">
        <x:v>12000000</x:v>
      </x:c>
      <x:c r="J62" s="2" t="str">
        <x:v>완료</x:v>
      </x:c>
      <x:c r="K62" s="2" t="n">
        <x:v>0</x:v>
      </x:c>
      <x:c r="L62" s="2" t="str">
        <x:v>교육용 가상자료</x:v>
      </x:c>
    </x:row>
    <x:row r="63" ht="27" customHeight="1">
      <x:c r="A63" s="2" t="str">
        <x:v>SIM-2025-0058</x:v>
      </x:c>
      <x:c r="B63" s="2" t="str">
        <x:v>2025-03-20</x:v>
      </x:c>
      <x:c r="C63" s="2" t="n">
        <x:v>3</x:v>
      </x:c>
      <x:c r="D63" s="2" t="str">
        <x:v>가상 업무교육팀</x:v>
      </x:c>
      <x:c r="E63" s="2" t="str">
        <x:v>안내자료제작</x:v>
      </x:c>
      <x:c r="F63" s="2" t="str">
        <x:v>일반경쟁</x:v>
      </x:c>
      <x:c r="G63" s="2" t="str">
        <x:v>안내자료제작 가상 과제 058</x:v>
      </x:c>
      <x:c r="H63" s="2" t="str">
        <x:v>가상업체10</x:v>
      </x:c>
      <x:c r="I63" s="5" t="n">
        <x:v>22000000</x:v>
      </x:c>
      <x:c r="J63" s="2" t="str">
        <x:v>완료</x:v>
      </x:c>
      <x:c r="K63" s="2" t="n">
        <x:v>0</x:v>
      </x:c>
      <x:c r="L63" s="2" t="str">
        <x:v>교육용 가상자료</x:v>
      </x:c>
    </x:row>
    <x:row r="64" ht="27" customHeight="1">
      <x:c r="A64" s="2" t="str">
        <x:v>SIM-2025-0059</x:v>
      </x:c>
      <x:c r="B64" s="2" t="str">
        <x:v>2025-03-06</x:v>
      </x:c>
      <x:c r="C64" s="2" t="n">
        <x:v>3</x:v>
      </x:c>
      <x:c r="D64" s="2" t="str">
        <x:v>가상 사업관리팀</x:v>
      </x:c>
      <x:c r="E64" s="2" t="str">
        <x:v>업무교육</x:v>
      </x:c>
      <x:c r="F64" s="2" t="str">
        <x:v>일반경쟁</x:v>
      </x:c>
      <x:c r="G64" s="2" t="str">
        <x:v>업무교육 가상 과제 059</x:v>
      </x:c>
      <x:c r="H64" s="2" t="str">
        <x:v>가상업체11</x:v>
      </x:c>
      <x:c r="I64" s="5" t="n">
        <x:v>13000000</x:v>
      </x:c>
      <x:c r="J64" s="2" t="str">
        <x:v>완료</x:v>
      </x:c>
      <x:c r="K64" s="2" t="n">
        <x:v>1</x:v>
      </x:c>
      <x:c r="L64" s="2" t="str">
        <x:v>교육용 가상자료</x:v>
      </x:c>
    </x:row>
    <x:row r="65" ht="27" customHeight="1">
      <x:c r="A65" s="2" t="str">
        <x:v>SIM-2025-0060</x:v>
      </x:c>
      <x:c r="B65" s="2" t="str">
        <x:v>2025-03-18</x:v>
      </x:c>
      <x:c r="C65" s="2" t="n">
        <x:v>3</x:v>
      </x:c>
      <x:c r="D65" s="2" t="str">
        <x:v>가상 자료정비팀</x:v>
      </x:c>
      <x:c r="E65" s="2" t="str">
        <x:v>기록정비지원</x:v>
      </x:c>
      <x:c r="F65" s="2" t="str">
        <x:v>수의계약</x:v>
      </x:c>
      <x:c r="G65" s="2" t="str">
        <x:v>기록정비지원 가상 과제 060</x:v>
      </x:c>
      <x:c r="H65" s="2" t="str">
        <x:v>가상업체12</x:v>
      </x:c>
      <x:c r="I65" s="5" t="n">
        <x:v>59000000</x:v>
      </x:c>
      <x:c r="J65" s="2" t="str">
        <x:v>완료</x:v>
      </x:c>
      <x:c r="K65" s="2" t="n">
        <x:v>0</x:v>
      </x:c>
      <x:c r="L65" s="2" t="str">
        <x:v>교육용 가상자료</x:v>
      </x:c>
    </x:row>
    <x:row r="66" ht="27" customHeight="1">
      <x:c r="A66" s="2" t="str">
        <x:v>SIM-2025-0061</x:v>
      </x:c>
      <x:c r="B66" s="2" t="str">
        <x:v>2025-03-01</x:v>
      </x:c>
      <x:c r="C66" s="2" t="n">
        <x:v>3</x:v>
      </x:c>
      <x:c r="D66" s="2" t="str">
        <x:v>가상 설비지원팀</x:v>
      </x:c>
      <x:c r="E66" s="2" t="str">
        <x:v>설비점검지원</x:v>
      </x:c>
      <x:c r="F66" s="2" t="str">
        <x:v>일반경쟁</x:v>
      </x:c>
      <x:c r="G66" s="2" t="str">
        <x:v>설비점검지원 가상 과제 061</x:v>
      </x:c>
      <x:c r="H66" s="2" t="str">
        <x:v>가상업체13</x:v>
      </x:c>
      <x:c r="I66" s="5" t="n">
        <x:v>40000000</x:v>
      </x:c>
      <x:c r="J66" s="2" t="str">
        <x:v>완료</x:v>
      </x:c>
      <x:c r="K66" s="2" t="n">
        <x:v>3</x:v>
      </x:c>
      <x:c r="L66" s="2" t="str">
        <x:v>교육용 가상자료</x:v>
      </x:c>
    </x:row>
    <x:row r="67" ht="27" customHeight="1">
      <x:c r="A67" s="2" t="str">
        <x:v>SIM-2025-0062</x:v>
      </x:c>
      <x:c r="B67" s="2" t="str">
        <x:v>2025-03-14</x:v>
      </x:c>
      <x:c r="C67" s="2" t="n">
        <x:v>3</x:v>
      </x:c>
      <x:c r="D67" s="2" t="str">
        <x:v>가상 고객안내팀</x:v>
      </x:c>
      <x:c r="E67" s="2" t="str">
        <x:v>안내자료제작</x:v>
      </x:c>
      <x:c r="F67" s="2" t="str">
        <x:v>수의계약</x:v>
      </x:c>
      <x:c r="G67" s="2" t="str">
        <x:v>안내자료제작 가상 과제 062</x:v>
      </x:c>
      <x:c r="H67" s="2" t="str">
        <x:v>가상업체14</x:v>
      </x:c>
      <x:c r="I67" s="5" t="n">
        <x:v>15000000</x:v>
      </x:c>
      <x:c r="J67" s="2" t="str">
        <x:v>완료</x:v>
      </x:c>
      <x:c r="K67" s="2" t="n">
        <x:v>2</x:v>
      </x:c>
      <x:c r="L67" s="2" t="str">
        <x:v>교육용 가상자료</x:v>
      </x:c>
    </x:row>
    <x:row r="68" ht="27" customHeight="1">
      <x:c r="A68" s="2" t="str">
        <x:v>SIM-2025-0063</x:v>
      </x:c>
      <x:c r="B68" s="2" t="str">
        <x:v>2025-03-12</x:v>
      </x:c>
      <x:c r="C68" s="2" t="n">
        <x:v>3</x:v>
      </x:c>
      <x:c r="D68" s="2" t="str">
        <x:v>가상 업무교육팀</x:v>
      </x:c>
      <x:c r="E68" s="2" t="str">
        <x:v>업무교육</x:v>
      </x:c>
      <x:c r="F68" s="2" t="str">
        <x:v>수의계약</x:v>
      </x:c>
      <x:c r="G68" s="2" t="str">
        <x:v>업무교육 가상 과제 063</x:v>
      </x:c>
      <x:c r="H68" s="2" t="str">
        <x:v>가상업체15</x:v>
      </x:c>
      <x:c r="I68" s="5" t="n">
        <x:v>53000000</x:v>
      </x:c>
      <x:c r="J68" s="2" t="str">
        <x:v>완료</x:v>
      </x:c>
      <x:c r="K68" s="2" t="n">
        <x:v>3</x:v>
      </x:c>
      <x:c r="L68" s="2" t="str">
        <x:v>교육용 가상자료</x:v>
      </x:c>
    </x:row>
    <x:row r="69" ht="27" customHeight="1">
      <x:c r="A69" s="2" t="str">
        <x:v>SIM-2025-0064</x:v>
      </x:c>
      <x:c r="B69" s="2" t="str">
        <x:v>2025-03-07</x:v>
      </x:c>
      <x:c r="C69" s="2" t="n">
        <x:v>3</x:v>
      </x:c>
      <x:c r="D69" s="2" t="str">
        <x:v>가상 사업관리팀</x:v>
      </x:c>
      <x:c r="E69" s="2" t="str">
        <x:v>기록정비지원</x:v>
      </x:c>
      <x:c r="F69" s="2" t="str">
        <x:v>제한경쟁</x:v>
      </x:c>
      <x:c r="G69" s="2" t="str">
        <x:v>기록정비지원 가상 과제 064</x:v>
      </x:c>
      <x:c r="H69" s="2" t="str">
        <x:v>가상업체16</x:v>
      </x:c>
      <x:c r="I69" s="5" t="n">
        <x:v>26000000</x:v>
      </x:c>
      <x:c r="J69" s="2" t="str">
        <x:v>완료</x:v>
      </x:c>
      <x:c r="K69" s="2" t="n">
        <x:v>3</x:v>
      </x:c>
      <x:c r="L69" s="2" t="str">
        <x:v>교육용 가상자료</x:v>
      </x:c>
    </x:row>
    <x:row r="70" ht="27" customHeight="1">
      <x:c r="A70" s="2" t="str">
        <x:v>SIM-2025-0065</x:v>
      </x:c>
      <x:c r="B70" s="2" t="str">
        <x:v>2025-03-13</x:v>
      </x:c>
      <x:c r="C70" s="2" t="n">
        <x:v>3</x:v>
      </x:c>
      <x:c r="D70" s="2" t="str">
        <x:v>가상 자료정비팀</x:v>
      </x:c>
      <x:c r="E70" s="2" t="str">
        <x:v>설비점검지원</x:v>
      </x:c>
      <x:c r="F70" s="2" t="str">
        <x:v>수의계약</x:v>
      </x:c>
      <x:c r="G70" s="2" t="str">
        <x:v>설비점검지원 가상 과제 065</x:v>
      </x:c>
      <x:c r="H70" s="2" t="str">
        <x:v>가상업체17</x:v>
      </x:c>
      <x:c r="I70" s="5" t="n">
        <x:v>25000000</x:v>
      </x:c>
      <x:c r="J70" s="2" t="str">
        <x:v>완료</x:v>
      </x:c>
      <x:c r="K70" s="2" t="n">
        <x:v>1</x:v>
      </x:c>
      <x:c r="L70" s="2" t="str">
        <x:v>교육용 가상자료</x:v>
      </x:c>
    </x:row>
    <x:row r="71" ht="27" customHeight="1">
      <x:c r="A71" s="2" t="str">
        <x:v>SIM-2025-0066</x:v>
      </x:c>
      <x:c r="B71" s="2" t="str">
        <x:v>2025-03-17</x:v>
      </x:c>
      <x:c r="C71" s="2" t="n">
        <x:v>3</x:v>
      </x:c>
      <x:c r="D71" s="2" t="str">
        <x:v>가상 설비지원팀</x:v>
      </x:c>
      <x:c r="E71" s="2" t="str">
        <x:v>안내자료제작</x:v>
      </x:c>
      <x:c r="F71" s="2" t="str">
        <x:v>일반경쟁</x:v>
      </x:c>
      <x:c r="G71" s="2" t="str">
        <x:v>안내자료제작 가상 과제 066</x:v>
      </x:c>
      <x:c r="H71" s="2" t="str">
        <x:v>가상업체18</x:v>
      </x:c>
      <x:c r="I71" s="5" t="n">
        <x:v>29000000</x:v>
      </x:c>
      <x:c r="J71" s="2" t="str">
        <x:v>완료</x:v>
      </x:c>
      <x:c r="K71" s="2" t="n">
        <x:v>1</x:v>
      </x:c>
      <x:c r="L71" s="2" t="str">
        <x:v>교육용 가상자료</x:v>
      </x:c>
    </x:row>
    <x:row r="72" ht="27" customHeight="1">
      <x:c r="A72" s="2" t="str">
        <x:v>SIM-2025-0067</x:v>
      </x:c>
      <x:c r="B72" s="2" t="str">
        <x:v>2025-03-07</x:v>
      </x:c>
      <x:c r="C72" s="2" t="n">
        <x:v>3</x:v>
      </x:c>
      <x:c r="D72" s="2" t="str">
        <x:v>가상 고객안내팀</x:v>
      </x:c>
      <x:c r="E72" s="2" t="str">
        <x:v>업무교육</x:v>
      </x:c>
      <x:c r="F72" s="2" t="str">
        <x:v>제한경쟁</x:v>
      </x:c>
      <x:c r="G72" s="2" t="str">
        <x:v>업무교육 가상 과제 067</x:v>
      </x:c>
      <x:c r="H72" s="2" t="str">
        <x:v>가상업체19</x:v>
      </x:c>
      <x:c r="I72" s="5" t="n">
        <x:v>36000000</x:v>
      </x:c>
      <x:c r="J72" s="2" t="str">
        <x:v>완료</x:v>
      </x:c>
      <x:c r="K72" s="2" t="n">
        <x:v>2</x:v>
      </x:c>
      <x:c r="L72" s="2" t="str">
        <x:v>교육용 가상자료</x:v>
      </x:c>
    </x:row>
    <x:row r="73" ht="27" customHeight="1">
      <x:c r="A73" s="2" t="str">
        <x:v>SIM-2025-0068</x:v>
      </x:c>
      <x:c r="B73" s="2" t="str">
        <x:v>2025-03-24</x:v>
      </x:c>
      <x:c r="C73" s="2" t="n">
        <x:v>3</x:v>
      </x:c>
      <x:c r="D73" s="2" t="str">
        <x:v>가상 업무교육팀</x:v>
      </x:c>
      <x:c r="E73" s="2" t="str">
        <x:v>기록정비지원</x:v>
      </x:c>
      <x:c r="F73" s="2" t="str">
        <x:v>일반경쟁</x:v>
      </x:c>
      <x:c r="G73" s="2" t="str">
        <x:v>기록정비지원 가상 과제 068</x:v>
      </x:c>
      <x:c r="H73" s="2" t="str">
        <x:v>가상업체20</x:v>
      </x:c>
      <x:c r="I73" s="5" t="n">
        <x:v>39000000</x:v>
      </x:c>
      <x:c r="J73" s="2" t="str">
        <x:v>완료</x:v>
      </x:c>
      <x:c r="K73" s="2" t="n">
        <x:v>2</x:v>
      </x:c>
      <x:c r="L73" s="2" t="str">
        <x:v>교육용 가상자료</x:v>
      </x:c>
    </x:row>
    <x:row r="74" ht="27" customHeight="1">
      <x:c r="A74" s="2" t="str">
        <x:v>SIM-2025-0069</x:v>
      </x:c>
      <x:c r="B74" s="2" t="str">
        <x:v>2025-03-09</x:v>
      </x:c>
      <x:c r="C74" s="2" t="n">
        <x:v>3</x:v>
      </x:c>
      <x:c r="D74" s="2" t="str">
        <x:v>가상 사업관리팀</x:v>
      </x:c>
      <x:c r="E74" s="2" t="str">
        <x:v>설비점검지원</x:v>
      </x:c>
      <x:c r="F74" s="2" t="str">
        <x:v>일반경쟁</x:v>
      </x:c>
      <x:c r="G74" s="2" t="str">
        <x:v>설비점검지원 가상 과제 069</x:v>
      </x:c>
      <x:c r="H74" s="2" t="str">
        <x:v>가상업체21</x:v>
      </x:c>
      <x:c r="I74" s="5" t="n">
        <x:v>16000000</x:v>
      </x:c>
      <x:c r="J74" s="2" t="str">
        <x:v>완료</x:v>
      </x:c>
      <x:c r="K74" s="2" t="n">
        <x:v>1</x:v>
      </x:c>
      <x:c r="L74" s="2" t="str">
        <x:v>교육용 가상자료</x:v>
      </x:c>
    </x:row>
    <x:row r="75" ht="27" customHeight="1">
      <x:c r="A75" s="2" t="str">
        <x:v>SIM-2025-0070</x:v>
      </x:c>
      <x:c r="B75" s="2" t="str">
        <x:v>2025-03-05</x:v>
      </x:c>
      <x:c r="C75" s="2" t="n">
        <x:v>3</x:v>
      </x:c>
      <x:c r="D75" s="2" t="str">
        <x:v>가상 자료정비팀</x:v>
      </x:c>
      <x:c r="E75" s="2" t="str">
        <x:v>안내자료제작</x:v>
      </x:c>
      <x:c r="F75" s="2" t="str">
        <x:v>수의계약</x:v>
      </x:c>
      <x:c r="G75" s="2" t="str">
        <x:v>안내자료제작 가상 과제 070</x:v>
      </x:c>
      <x:c r="H75" s="2" t="str">
        <x:v>가상업체22</x:v>
      </x:c>
      <x:c r="I75" s="5" t="n">
        <x:v>70000000</x:v>
      </x:c>
      <x:c r="J75" s="2" t="str">
        <x:v>완료</x:v>
      </x:c>
      <x:c r="K75" s="2" t="n">
        <x:v>1</x:v>
      </x:c>
      <x:c r="L75" s="2" t="str">
        <x:v>교육용 가상자료</x:v>
      </x:c>
    </x:row>
    <x:row r="76" ht="27" customHeight="1">
      <x:c r="A76" s="2" t="str">
        <x:v>SIM-2025-0071</x:v>
      </x:c>
      <x:c r="B76" s="2" t="str">
        <x:v>2025-03-07</x:v>
      </x:c>
      <x:c r="C76" s="2" t="n">
        <x:v>3</x:v>
      </x:c>
      <x:c r="D76" s="2" t="str">
        <x:v>가상 설비지원팀</x:v>
      </x:c>
      <x:c r="E76" s="2" t="str">
        <x:v>업무교육</x:v>
      </x:c>
      <x:c r="F76" s="2" t="str">
        <x:v>일반경쟁</x:v>
      </x:c>
      <x:c r="G76" s="2" t="str">
        <x:v>업무교육 가상 과제 071</x:v>
      </x:c>
      <x:c r="H76" s="2" t="str">
        <x:v>가상업체23</x:v>
      </x:c>
      <x:c r="I76" s="5" t="n">
        <x:v>13000000</x:v>
      </x:c>
      <x:c r="J76" s="2" t="str">
        <x:v>완료</x:v>
      </x:c>
      <x:c r="K76" s="2" t="n">
        <x:v>3</x:v>
      </x:c>
      <x:c r="L76" s="2" t="str">
        <x:v>교육용 가상자료</x:v>
      </x:c>
    </x:row>
    <x:row r="77" ht="27" customHeight="1">
      <x:c r="A77" s="2" t="str">
        <x:v>SIM-2025-0072</x:v>
      </x:c>
      <x:c r="B77" s="2" t="str">
        <x:v>2025-03-01</x:v>
      </x:c>
      <x:c r="C77" s="2" t="n">
        <x:v>3</x:v>
      </x:c>
      <x:c r="D77" s="2" t="str">
        <x:v>가상 고객안내팀</x:v>
      </x:c>
      <x:c r="E77" s="2" t="str">
        <x:v>기록정비지원</x:v>
      </x:c>
      <x:c r="F77" s="2" t="str">
        <x:v>제한경쟁</x:v>
      </x:c>
      <x:c r="G77" s="2" t="str">
        <x:v>기록정비지원 가상 과제 072</x:v>
      </x:c>
      <x:c r="H77" s="2" t="str">
        <x:v>가상업체24</x:v>
      </x:c>
      <x:c r="I77" s="5" t="n">
        <x:v>36000000</x:v>
      </x:c>
      <x:c r="J77" s="2" t="str">
        <x:v>완료</x:v>
      </x:c>
      <x:c r="K77" s="2" t="n">
        <x:v>1</x:v>
      </x:c>
      <x:c r="L77" s="2" t="str">
        <x:v>교육용 가상자료</x:v>
      </x:c>
    </x:row>
    <x:row r="78" ht="27" customHeight="1">
      <x:c r="A78" s="2" t="str">
        <x:v>SIM-2025-0073</x:v>
      </x:c>
      <x:c r="B78" s="2" t="str">
        <x:v>2025-03-17</x:v>
      </x:c>
      <x:c r="C78" s="2" t="n">
        <x:v>3</x:v>
      </x:c>
      <x:c r="D78" s="2" t="str">
        <x:v>가상 업무교육팀</x:v>
      </x:c>
      <x:c r="E78" s="2" t="str">
        <x:v>설비점검지원</x:v>
      </x:c>
      <x:c r="F78" s="2" t="str">
        <x:v>수의계약</x:v>
      </x:c>
      <x:c r="G78" s="2" t="str">
        <x:v>설비점검지원 가상 과제 073</x:v>
      </x:c>
      <x:c r="H78" s="2" t="str">
        <x:v>가상업체01</x:v>
      </x:c>
      <x:c r="I78" s="5" t="n">
        <x:v>9000000</x:v>
      </x:c>
      <x:c r="J78" s="2" t="str">
        <x:v>완료</x:v>
      </x:c>
      <x:c r="K78" s="2" t="n">
        <x:v>3</x:v>
      </x:c>
      <x:c r="L78" s="2" t="str">
        <x:v>교육용 가상자료</x:v>
      </x:c>
    </x:row>
    <x:row r="79" ht="27" customHeight="1">
      <x:c r="A79" s="2" t="str">
        <x:v>SIM-2025-0074</x:v>
      </x:c>
      <x:c r="B79" s="2" t="str">
        <x:v>2025-03-08</x:v>
      </x:c>
      <x:c r="C79" s="2" t="n">
        <x:v>3</x:v>
      </x:c>
      <x:c r="D79" s="2" t="str">
        <x:v>가상 사업관리팀</x:v>
      </x:c>
      <x:c r="E79" s="2" t="str">
        <x:v>안내자료제작</x:v>
      </x:c>
      <x:c r="F79" s="2" t="str">
        <x:v>수의계약</x:v>
      </x:c>
      <x:c r="G79" s="2" t="str">
        <x:v>안내자료제작 가상 과제 074</x:v>
      </x:c>
      <x:c r="H79" s="2" t="str">
        <x:v>가상업체02</x:v>
      </x:c>
      <x:c r="I79" s="5" t="n">
        <x:v>56000000</x:v>
      </x:c>
      <x:c r="J79" s="2" t="str">
        <x:v>완료</x:v>
      </x:c>
      <x:c r="K79" s="2" t="n">
        <x:v>1</x:v>
      </x:c>
      <x:c r="L79" s="2" t="str">
        <x:v>교육용 가상자료</x:v>
      </x:c>
    </x:row>
    <x:row r="80" ht="27" customHeight="1">
      <x:c r="A80" s="2" t="str">
        <x:v>SIM-2025-0075</x:v>
      </x:c>
      <x:c r="B80" s="2" t="str">
        <x:v>2025-03-14</x:v>
      </x:c>
      <x:c r="C80" s="2" t="n">
        <x:v>3</x:v>
      </x:c>
      <x:c r="D80" s="2" t="str">
        <x:v>가상 자료정비팀</x:v>
      </x:c>
      <x:c r="E80" s="2" t="str">
        <x:v>업무교육</x:v>
      </x:c>
      <x:c r="F80" s="2" t="str">
        <x:v>수의계약</x:v>
      </x:c>
      <x:c r="G80" s="2" t="str">
        <x:v>업무교육 가상 과제 075</x:v>
      </x:c>
      <x:c r="H80" s="2" t="str">
        <x:v>가상업체03</x:v>
      </x:c>
      <x:c r="I80" s="5" t="n">
        <x:v>36000000</x:v>
      </x:c>
      <x:c r="J80" s="2" t="str">
        <x:v>완료</x:v>
      </x:c>
      <x:c r="K80" s="2" t="n">
        <x:v>2</x:v>
      </x:c>
      <x:c r="L80" s="2" t="str">
        <x:v>교육용 가상자료</x:v>
      </x:c>
    </x:row>
    <x:row r="81" ht="27" customHeight="1">
      <x:c r="A81" s="2" t="str">
        <x:v>SIM-2025-0076</x:v>
      </x:c>
      <x:c r="B81" s="2" t="str">
        <x:v>2025-04-09</x:v>
      </x:c>
      <x:c r="C81" s="2" t="n">
        <x:v>4</x:v>
      </x:c>
      <x:c r="D81" s="2" t="str">
        <x:v>가상 설비지원팀</x:v>
      </x:c>
      <x:c r="E81" s="2" t="str">
        <x:v>기록정비지원</x:v>
      </x:c>
      <x:c r="F81" s="2" t="str">
        <x:v>수의계약</x:v>
      </x:c>
      <x:c r="G81" s="2" t="str">
        <x:v>기록정비지원 가상 과제 076</x:v>
      </x:c>
      <x:c r="H81" s="2" t="str">
        <x:v>가상업체04</x:v>
      </x:c>
      <x:c r="I81" s="5" t="n">
        <x:v>56000000</x:v>
      </x:c>
      <x:c r="J81" s="2" t="str">
        <x:v>완료</x:v>
      </x:c>
      <x:c r="K81" s="2" t="n">
        <x:v>0</x:v>
      </x:c>
      <x:c r="L81" s="2" t="str">
        <x:v>교육용 가상자료</x:v>
      </x:c>
    </x:row>
    <x:row r="82" ht="27" customHeight="1">
      <x:c r="A82" s="2" t="str">
        <x:v>SIM-2025-0077</x:v>
      </x:c>
      <x:c r="B82" s="2" t="str">
        <x:v>2025-04-10</x:v>
      </x:c>
      <x:c r="C82" s="2" t="n">
        <x:v>4</x:v>
      </x:c>
      <x:c r="D82" s="2" t="str">
        <x:v>가상 고객안내팀</x:v>
      </x:c>
      <x:c r="E82" s="2" t="str">
        <x:v>설비점검지원</x:v>
      </x:c>
      <x:c r="F82" s="2" t="str">
        <x:v>일반경쟁</x:v>
      </x:c>
      <x:c r="G82" s="2" t="str">
        <x:v>설비점검지원 가상 과제 077</x:v>
      </x:c>
      <x:c r="H82" s="2" t="str">
        <x:v>가상업체05</x:v>
      </x:c>
      <x:c r="I82" s="5" t="n">
        <x:v>9000000</x:v>
      </x:c>
      <x:c r="J82" s="2" t="str">
        <x:v>완료</x:v>
      </x:c>
      <x:c r="K82" s="2" t="n">
        <x:v>1</x:v>
      </x:c>
      <x:c r="L82" s="2" t="str">
        <x:v>교육용 가상자료</x:v>
      </x:c>
    </x:row>
    <x:row r="83" ht="27" customHeight="1">
      <x:c r="A83" s="2" t="str">
        <x:v>SIM-2025-0078</x:v>
      </x:c>
      <x:c r="B83" s="2" t="str">
        <x:v>2025-04-21</x:v>
      </x:c>
      <x:c r="C83" s="2" t="n">
        <x:v>4</x:v>
      </x:c>
      <x:c r="D83" s="2" t="str">
        <x:v>가상 업무교육팀</x:v>
      </x:c>
      <x:c r="E83" s="2" t="str">
        <x:v>안내자료제작</x:v>
      </x:c>
      <x:c r="F83" s="2" t="str">
        <x:v>제한경쟁</x:v>
      </x:c>
      <x:c r="G83" s="2" t="str">
        <x:v>안내자료제작 가상 과제 078</x:v>
      </x:c>
      <x:c r="H83" s="2" t="str">
        <x:v>가상업체06</x:v>
      </x:c>
      <x:c r="I83" s="5" t="n">
        <x:v>18000000</x:v>
      </x:c>
      <x:c r="J83" s="2" t="str">
        <x:v>완료</x:v>
      </x:c>
      <x:c r="K83" s="2" t="n">
        <x:v>2</x:v>
      </x:c>
      <x:c r="L83" s="2" t="str">
        <x:v>교육용 가상자료</x:v>
      </x:c>
    </x:row>
    <x:row r="84" ht="27" customHeight="1">
      <x:c r="A84" s="2" t="str">
        <x:v>SIM-2025-0079</x:v>
      </x:c>
      <x:c r="B84" s="2" t="str">
        <x:v>2025-04-03</x:v>
      </x:c>
      <x:c r="C84" s="2" t="n">
        <x:v>4</x:v>
      </x:c>
      <x:c r="D84" s="2" t="str">
        <x:v>가상 사업관리팀</x:v>
      </x:c>
      <x:c r="E84" s="2" t="str">
        <x:v>업무교육</x:v>
      </x:c>
      <x:c r="F84" s="2" t="str">
        <x:v>수의계약</x:v>
      </x:c>
      <x:c r="G84" s="2" t="str">
        <x:v>업무교육 가상 과제 079</x:v>
      </x:c>
      <x:c r="H84" s="2" t="str">
        <x:v>가상업체07</x:v>
      </x:c>
      <x:c r="I84" s="5" t="n">
        <x:v>17000000</x:v>
      </x:c>
      <x:c r="J84" s="2" t="str">
        <x:v>완료</x:v>
      </x:c>
      <x:c r="K84" s="2" t="n">
        <x:v>3</x:v>
      </x:c>
      <x:c r="L84" s="2" t="str">
        <x:v>교육용 가상자료</x:v>
      </x:c>
    </x:row>
    <x:row r="85" ht="27" customHeight="1">
      <x:c r="A85" s="2" t="str">
        <x:v>SIM-2025-0080</x:v>
      </x:c>
      <x:c r="B85" s="2" t="str">
        <x:v>2025-04-21</x:v>
      </x:c>
      <x:c r="C85" s="2" t="n">
        <x:v>4</x:v>
      </x:c>
      <x:c r="D85" s="2" t="str">
        <x:v>가상 자료정비팀</x:v>
      </x:c>
      <x:c r="E85" s="2" t="str">
        <x:v>기록정비지원</x:v>
      </x:c>
      <x:c r="F85" s="2" t="str">
        <x:v>수의계약</x:v>
      </x:c>
      <x:c r="G85" s="2" t="str">
        <x:v>기록정비지원 가상 과제 080</x:v>
      </x:c>
      <x:c r="H85" s="2" t="str">
        <x:v>가상업체08</x:v>
      </x:c>
      <x:c r="I85" s="5" t="n">
        <x:v>10000000</x:v>
      </x:c>
      <x:c r="J85" s="2" t="str">
        <x:v>완료</x:v>
      </x:c>
      <x:c r="K85" s="2" t="n">
        <x:v>2</x:v>
      </x:c>
      <x:c r="L85" s="2" t="str">
        <x:v>교육용 가상자료</x:v>
      </x:c>
    </x:row>
    <x:row r="86" ht="27" customHeight="1">
      <x:c r="A86" s="2" t="str">
        <x:v>SIM-2025-0081</x:v>
      </x:c>
      <x:c r="B86" s="2" t="str">
        <x:v>2025-04-08</x:v>
      </x:c>
      <x:c r="C86" s="2" t="n">
        <x:v>4</x:v>
      </x:c>
      <x:c r="D86" s="2" t="str">
        <x:v>가상 설비지원팀</x:v>
      </x:c>
      <x:c r="E86" s="2" t="str">
        <x:v>설비점검지원</x:v>
      </x:c>
      <x:c r="F86" s="2" t="str">
        <x:v>수의계약</x:v>
      </x:c>
      <x:c r="G86" s="2" t="str">
        <x:v>설비점검지원 가상 과제 081</x:v>
      </x:c>
      <x:c r="H86" s="2" t="str">
        <x:v>가상업체09</x:v>
      </x:c>
      <x:c r="I86" s="5" t="n">
        <x:v>21000000</x:v>
      </x:c>
      <x:c r="J86" s="2" t="str">
        <x:v>완료</x:v>
      </x:c>
      <x:c r="K86" s="2" t="n">
        <x:v>3</x:v>
      </x:c>
      <x:c r="L86" s="2" t="str">
        <x:v>교육용 가상자료</x:v>
      </x:c>
    </x:row>
    <x:row r="87" ht="27" customHeight="1">
      <x:c r="A87" s="2" t="str">
        <x:v>SIM-2025-0082</x:v>
      </x:c>
      <x:c r="B87" s="2" t="str">
        <x:v>2025-04-20</x:v>
      </x:c>
      <x:c r="C87" s="2" t="n">
        <x:v>4</x:v>
      </x:c>
      <x:c r="D87" s="2" t="str">
        <x:v>가상 고객안내팀</x:v>
      </x:c>
      <x:c r="E87" s="2" t="str">
        <x:v>안내자료제작</x:v>
      </x:c>
      <x:c r="F87" s="2" t="str">
        <x:v>수의계약</x:v>
      </x:c>
      <x:c r="G87" s="2" t="str">
        <x:v>안내자료제작 가상 과제 082</x:v>
      </x:c>
      <x:c r="H87" s="2" t="str">
        <x:v>가상업체10</x:v>
      </x:c>
      <x:c r="I87" s="5" t="n">
        <x:v>21000000</x:v>
      </x:c>
      <x:c r="J87" s="2" t="str">
        <x:v>완료</x:v>
      </x:c>
      <x:c r="K87" s="2" t="n">
        <x:v>3</x:v>
      </x:c>
      <x:c r="L87" s="2" t="str">
        <x:v>교육용 가상자료</x:v>
      </x:c>
    </x:row>
    <x:row r="88" ht="27" customHeight="1">
      <x:c r="A88" s="2" t="str">
        <x:v>SIM-2025-0083</x:v>
      </x:c>
      <x:c r="B88" s="2" t="str">
        <x:v>2025-04-10</x:v>
      </x:c>
      <x:c r="C88" s="2" t="n">
        <x:v>4</x:v>
      </x:c>
      <x:c r="D88" s="2" t="str">
        <x:v>가상 업무교육팀</x:v>
      </x:c>
      <x:c r="E88" s="2" t="str">
        <x:v>업무교육</x:v>
      </x:c>
      <x:c r="F88" s="2" t="str">
        <x:v>일반경쟁</x:v>
      </x:c>
      <x:c r="G88" s="2" t="str">
        <x:v>업무교육 가상 과제 083</x:v>
      </x:c>
      <x:c r="H88" s="2" t="str">
        <x:v>가상업체11</x:v>
      </x:c>
      <x:c r="I88" s="5" t="n">
        <x:v>25000000</x:v>
      </x:c>
      <x:c r="J88" s="2" t="str">
        <x:v>완료</x:v>
      </x:c>
      <x:c r="K88" s="2" t="n">
        <x:v>3</x:v>
      </x:c>
      <x:c r="L88" s="2" t="str">
        <x:v>교육용 가상자료</x:v>
      </x:c>
    </x:row>
    <x:row r="89" ht="27" customHeight="1">
      <x:c r="A89" s="2" t="str">
        <x:v>SIM-2025-0084</x:v>
      </x:c>
      <x:c r="B89" s="2" t="str">
        <x:v>2025-04-08</x:v>
      </x:c>
      <x:c r="C89" s="2" t="n">
        <x:v>4</x:v>
      </x:c>
      <x:c r="D89" s="2" t="str">
        <x:v>가상 사업관리팀</x:v>
      </x:c>
      <x:c r="E89" s="2" t="str">
        <x:v>기록정비지원</x:v>
      </x:c>
      <x:c r="F89" s="2" t="str">
        <x:v>수의계약</x:v>
      </x:c>
      <x:c r="G89" s="2" t="str">
        <x:v>기록정비지원 가상 과제 084</x:v>
      </x:c>
      <x:c r="H89" s="2" t="str">
        <x:v>가상업체12</x:v>
      </x:c>
      <x:c r="I89" s="5" t="n">
        <x:v>40000000</x:v>
      </x:c>
      <x:c r="J89" s="2" t="str">
        <x:v>완료</x:v>
      </x:c>
      <x:c r="K89" s="2" t="n">
        <x:v>1</x:v>
      </x:c>
      <x:c r="L89" s="2" t="str">
        <x:v>교육용 가상자료</x:v>
      </x:c>
    </x:row>
    <x:row r="90" ht="27" customHeight="1">
      <x:c r="A90" s="2" t="str">
        <x:v>SIM-2025-0085</x:v>
      </x:c>
      <x:c r="B90" s="2" t="str">
        <x:v>2025-04-24</x:v>
      </x:c>
      <x:c r="C90" s="2" t="n">
        <x:v>4</x:v>
      </x:c>
      <x:c r="D90" s="2" t="str">
        <x:v>가상 자료정비팀</x:v>
      </x:c>
      <x:c r="E90" s="2" t="str">
        <x:v>설비점검지원</x:v>
      </x:c>
      <x:c r="F90" s="2" t="str">
        <x:v>수의계약</x:v>
      </x:c>
      <x:c r="G90" s="2" t="str">
        <x:v>설비점검지원 가상 과제 085</x:v>
      </x:c>
      <x:c r="H90" s="2" t="str">
        <x:v>가상업체13</x:v>
      </x:c>
      <x:c r="I90" s="5" t="n">
        <x:v>66000000</x:v>
      </x:c>
      <x:c r="J90" s="2" t="str">
        <x:v>완료</x:v>
      </x:c>
      <x:c r="K90" s="2" t="n">
        <x:v>1</x:v>
      </x:c>
      <x:c r="L90" s="2" t="str">
        <x:v>교육용 가상자료</x:v>
      </x:c>
    </x:row>
    <x:row r="91" ht="27" customHeight="1">
      <x:c r="A91" s="2" t="str">
        <x:v>SIM-2025-0086</x:v>
      </x:c>
      <x:c r="B91" s="2" t="str">
        <x:v>2025-04-12</x:v>
      </x:c>
      <x:c r="C91" s="2" t="n">
        <x:v>4</x:v>
      </x:c>
      <x:c r="D91" s="2" t="str">
        <x:v>가상 설비지원팀</x:v>
      </x:c>
      <x:c r="E91" s="2" t="str">
        <x:v>안내자료제작</x:v>
      </x:c>
      <x:c r="F91" s="2" t="str">
        <x:v>제한경쟁</x:v>
      </x:c>
      <x:c r="G91" s="2" t="str">
        <x:v>안내자료제작 가상 과제 086</x:v>
      </x:c>
      <x:c r="H91" s="2" t="str">
        <x:v>가상업체14</x:v>
      </x:c>
      <x:c r="I91" s="5" t="n">
        <x:v>18000000</x:v>
      </x:c>
      <x:c r="J91" s="2" t="str">
        <x:v>완료</x:v>
      </x:c>
      <x:c r="K91" s="2" t="n">
        <x:v>0</x:v>
      </x:c>
      <x:c r="L91" s="2" t="str">
        <x:v>교육용 가상자료</x:v>
      </x:c>
    </x:row>
    <x:row r="92" ht="27" customHeight="1">
      <x:c r="A92" s="2" t="str">
        <x:v>SIM-2025-0087</x:v>
      </x:c>
      <x:c r="B92" s="2" t="str">
        <x:v>2025-04-26</x:v>
      </x:c>
      <x:c r="C92" s="2" t="n">
        <x:v>4</x:v>
      </x:c>
      <x:c r="D92" s="2" t="str">
        <x:v>가상 고객안내팀</x:v>
      </x:c>
      <x:c r="E92" s="2" t="str">
        <x:v>업무교육</x:v>
      </x:c>
      <x:c r="F92" s="2" t="str">
        <x:v>일반경쟁</x:v>
      </x:c>
      <x:c r="G92" s="2" t="str">
        <x:v>업무교육 가상 과제 087</x:v>
      </x:c>
      <x:c r="H92" s="2" t="str">
        <x:v>가상업체15</x:v>
      </x:c>
      <x:c r="I92" s="5" t="n">
        <x:v>40000000</x:v>
      </x:c>
      <x:c r="J92" s="2" t="str">
        <x:v>완료</x:v>
      </x:c>
      <x:c r="K92" s="2" t="n">
        <x:v>2</x:v>
      </x:c>
      <x:c r="L92" s="2" t="str">
        <x:v>교육용 가상자료</x:v>
      </x:c>
    </x:row>
    <x:row r="93" ht="27" customHeight="1">
      <x:c r="A93" s="2" t="str">
        <x:v>SIM-2025-0088</x:v>
      </x:c>
      <x:c r="B93" s="2" t="str">
        <x:v>2025-04-10</x:v>
      </x:c>
      <x:c r="C93" s="2" t="n">
        <x:v>4</x:v>
      </x:c>
      <x:c r="D93" s="2" t="str">
        <x:v>가상 업무교육팀</x:v>
      </x:c>
      <x:c r="E93" s="2" t="str">
        <x:v>기록정비지원</x:v>
      </x:c>
      <x:c r="F93" s="2" t="str">
        <x:v>제한경쟁</x:v>
      </x:c>
      <x:c r="G93" s="2" t="str">
        <x:v>기록정비지원 가상 과제 088</x:v>
      </x:c>
      <x:c r="H93" s="2" t="str">
        <x:v>가상업체16</x:v>
      </x:c>
      <x:c r="I93" s="5" t="n">
        <x:v>62000000</x:v>
      </x:c>
      <x:c r="J93" s="2" t="str">
        <x:v>완료</x:v>
      </x:c>
      <x:c r="K93" s="2" t="n">
        <x:v>3</x:v>
      </x:c>
      <x:c r="L93" s="2" t="str">
        <x:v>교육용 가상자료</x:v>
      </x:c>
    </x:row>
    <x:row r="94" ht="27" customHeight="1">
      <x:c r="A94" s="2" t="str">
        <x:v>SIM-2025-0089</x:v>
      </x:c>
      <x:c r="B94" s="2" t="str">
        <x:v>2025-04-12</x:v>
      </x:c>
      <x:c r="C94" s="2" t="n">
        <x:v>4</x:v>
      </x:c>
      <x:c r="D94" s="2" t="str">
        <x:v>가상 사업관리팀</x:v>
      </x:c>
      <x:c r="E94" s="2" t="str">
        <x:v>설비점검지원</x:v>
      </x:c>
      <x:c r="F94" s="2" t="str">
        <x:v>제한경쟁</x:v>
      </x:c>
      <x:c r="G94" s="2" t="str">
        <x:v>설비점검지원 가상 과제 089</x:v>
      </x:c>
      <x:c r="H94" s="2" t="str">
        <x:v>가상업체17</x:v>
      </x:c>
      <x:c r="I94" s="5" t="n">
        <x:v>48000000</x:v>
      </x:c>
      <x:c r="J94" s="2" t="str">
        <x:v>완료</x:v>
      </x:c>
      <x:c r="K94" s="2" t="n">
        <x:v>2</x:v>
      </x:c>
      <x:c r="L94" s="2" t="str">
        <x:v>교육용 가상자료</x:v>
      </x:c>
    </x:row>
    <x:row r="95" ht="27" customHeight="1">
      <x:c r="A95" s="2" t="str">
        <x:v>SIM-2025-0090</x:v>
      </x:c>
      <x:c r="B95" s="2" t="str">
        <x:v>2025-04-21</x:v>
      </x:c>
      <x:c r="C95" s="2" t="n">
        <x:v>4</x:v>
      </x:c>
      <x:c r="D95" s="2" t="str">
        <x:v>가상 자료정비팀</x:v>
      </x:c>
      <x:c r="E95" s="2" t="str">
        <x:v>안내자료제작</x:v>
      </x:c>
      <x:c r="F95" s="2" t="str">
        <x:v>일반경쟁</x:v>
      </x:c>
      <x:c r="G95" s="2" t="str">
        <x:v>안내자료제작 가상 과제 090</x:v>
      </x:c>
      <x:c r="H95" s="2" t="str">
        <x:v>가상업체18</x:v>
      </x:c>
      <x:c r="I95" s="5" t="n">
        <x:v>19000000</x:v>
      </x:c>
      <x:c r="J95" s="2" t="str">
        <x:v>완료</x:v>
      </x:c>
      <x:c r="K95" s="2" t="n">
        <x:v>1</x:v>
      </x:c>
      <x:c r="L95" s="2" t="str">
        <x:v>교육용 가상자료</x:v>
      </x:c>
    </x:row>
    <x:row r="96" ht="27" customHeight="1">
      <x:c r="A96" s="2" t="str">
        <x:v>SIM-2025-0091</x:v>
      </x:c>
      <x:c r="B96" s="2" t="str">
        <x:v>2025-04-09</x:v>
      </x:c>
      <x:c r="C96" s="2" t="n">
        <x:v>4</x:v>
      </x:c>
      <x:c r="D96" s="2" t="str">
        <x:v>가상 설비지원팀</x:v>
      </x:c>
      <x:c r="E96" s="2" t="str">
        <x:v>업무교육</x:v>
      </x:c>
      <x:c r="F96" s="2" t="str">
        <x:v>제한경쟁</x:v>
      </x:c>
      <x:c r="G96" s="2" t="str">
        <x:v>업무교육 가상 과제 091</x:v>
      </x:c>
      <x:c r="H96" s="2" t="str">
        <x:v>가상업체19</x:v>
      </x:c>
      <x:c r="I96" s="5" t="n">
        <x:v>68000000</x:v>
      </x:c>
      <x:c r="J96" s="2" t="str">
        <x:v>완료</x:v>
      </x:c>
      <x:c r="K96" s="2" t="n">
        <x:v>2</x:v>
      </x:c>
      <x:c r="L96" s="2" t="str">
        <x:v>교육용 가상자료</x:v>
      </x:c>
    </x:row>
    <x:row r="97" ht="27" customHeight="1">
      <x:c r="A97" s="2" t="str">
        <x:v>SIM-2025-0092</x:v>
      </x:c>
      <x:c r="B97" s="2" t="str">
        <x:v>2025-04-13</x:v>
      </x:c>
      <x:c r="C97" s="2" t="n">
        <x:v>4</x:v>
      </x:c>
      <x:c r="D97" s="2" t="str">
        <x:v>가상 고객안내팀</x:v>
      </x:c>
      <x:c r="E97" s="2" t="str">
        <x:v>기록정비지원</x:v>
      </x:c>
      <x:c r="F97" s="2" t="str">
        <x:v>수의계약</x:v>
      </x:c>
      <x:c r="G97" s="2" t="str">
        <x:v>기록정비지원 가상 과제 092</x:v>
      </x:c>
      <x:c r="H97" s="2" t="str">
        <x:v>가상업체20</x:v>
      </x:c>
      <x:c r="I97" s="5" t="n">
        <x:v>42000000</x:v>
      </x:c>
      <x:c r="J97" s="2" t="str">
        <x:v>완료</x:v>
      </x:c>
      <x:c r="K97" s="2" t="n">
        <x:v>1</x:v>
      </x:c>
      <x:c r="L97" s="2" t="str">
        <x:v>교육용 가상자료</x:v>
      </x:c>
    </x:row>
    <x:row r="98" ht="27" customHeight="1">
      <x:c r="A98" s="2" t="str">
        <x:v>SIM-2025-0093</x:v>
      </x:c>
      <x:c r="B98" s="2" t="str">
        <x:v>2025-04-19</x:v>
      </x:c>
      <x:c r="C98" s="2" t="n">
        <x:v>4</x:v>
      </x:c>
      <x:c r="D98" s="2" t="str">
        <x:v>가상 업무교육팀</x:v>
      </x:c>
      <x:c r="E98" s="2" t="str">
        <x:v>설비점검지원</x:v>
      </x:c>
      <x:c r="F98" s="2" t="str">
        <x:v>일반경쟁</x:v>
      </x:c>
      <x:c r="G98" s="2" t="str">
        <x:v>설비점검지원 가상 과제 093</x:v>
      </x:c>
      <x:c r="H98" s="2" t="str">
        <x:v>가상업체21</x:v>
      </x:c>
      <x:c r="I98" s="5" t="n">
        <x:v>47000000</x:v>
      </x:c>
      <x:c r="J98" s="2" t="str">
        <x:v>완료</x:v>
      </x:c>
      <x:c r="K98" s="2" t="n">
        <x:v>2</x:v>
      </x:c>
      <x:c r="L98" s="2" t="str">
        <x:v>교육용 가상자료</x:v>
      </x:c>
    </x:row>
    <x:row r="99" ht="27" customHeight="1">
      <x:c r="A99" s="2" t="str">
        <x:v>SIM-2025-0094</x:v>
      </x:c>
      <x:c r="B99" s="2" t="str">
        <x:v>2025-04-14</x:v>
      </x:c>
      <x:c r="C99" s="2" t="n">
        <x:v>4</x:v>
      </x:c>
      <x:c r="D99" s="2" t="str">
        <x:v>가상 사업관리팀</x:v>
      </x:c>
      <x:c r="E99" s="2" t="str">
        <x:v>안내자료제작</x:v>
      </x:c>
      <x:c r="F99" s="2" t="str">
        <x:v>일반경쟁</x:v>
      </x:c>
      <x:c r="G99" s="2" t="str">
        <x:v>안내자료제작 가상 과제 094</x:v>
      </x:c>
      <x:c r="H99" s="2" t="str">
        <x:v>가상업체22</x:v>
      </x:c>
      <x:c r="I99" s="5" t="n">
        <x:v>47000000</x:v>
      </x:c>
      <x:c r="J99" s="2" t="str">
        <x:v>완료</x:v>
      </x:c>
      <x:c r="K99" s="2" t="n">
        <x:v>2</x:v>
      </x:c>
      <x:c r="L99" s="2" t="str">
        <x:v>교육용 가상자료</x:v>
      </x:c>
    </x:row>
    <x:row r="100" ht="27" customHeight="1">
      <x:c r="A100" s="2" t="str">
        <x:v>SIM-2025-0095</x:v>
      </x:c>
      <x:c r="B100" s="2" t="str">
        <x:v>2025-04-01</x:v>
      </x:c>
      <x:c r="C100" s="2" t="n">
        <x:v>4</x:v>
      </x:c>
      <x:c r="D100" s="2" t="str">
        <x:v>가상 자료정비팀</x:v>
      </x:c>
      <x:c r="E100" s="2" t="str">
        <x:v>업무교육</x:v>
      </x:c>
      <x:c r="F100" s="2" t="str">
        <x:v>제한경쟁</x:v>
      </x:c>
      <x:c r="G100" s="2" t="str">
        <x:v>업무교육 가상 과제 095</x:v>
      </x:c>
      <x:c r="H100" s="2" t="str">
        <x:v>가상업체23</x:v>
      </x:c>
      <x:c r="I100" s="5" t="n">
        <x:v>45000000</x:v>
      </x:c>
      <x:c r="J100" s="2" t="str">
        <x:v>완료</x:v>
      </x:c>
      <x:c r="K100" s="2" t="n">
        <x:v>2</x:v>
      </x:c>
      <x:c r="L100" s="2" t="str">
        <x:v>교육용 가상자료</x:v>
      </x:c>
    </x:row>
    <x:row r="101" ht="27" customHeight="1">
      <x:c r="A101" s="2" t="str">
        <x:v>SIM-2025-0096</x:v>
      </x:c>
      <x:c r="B101" s="2" t="str">
        <x:v>2025-04-02</x:v>
      </x:c>
      <x:c r="C101" s="2" t="n">
        <x:v>4</x:v>
      </x:c>
      <x:c r="D101" s="2" t="str">
        <x:v>가상 설비지원팀</x:v>
      </x:c>
      <x:c r="E101" s="2" t="str">
        <x:v>기록정비지원</x:v>
      </x:c>
      <x:c r="F101" s="2" t="str">
        <x:v>제한경쟁</x:v>
      </x:c>
      <x:c r="G101" s="2" t="str">
        <x:v>기록정비지원 가상 과제 096</x:v>
      </x:c>
      <x:c r="H101" s="2" t="str">
        <x:v>가상업체24</x:v>
      </x:c>
      <x:c r="I101" s="5" t="n">
        <x:v>20000000</x:v>
      </x:c>
      <x:c r="J101" s="2" t="str">
        <x:v>완료</x:v>
      </x:c>
      <x:c r="K101" s="2" t="n">
        <x:v>2</x:v>
      </x:c>
      <x:c r="L101" s="2" t="str">
        <x:v>교육용 가상자료</x:v>
      </x:c>
    </x:row>
    <x:row r="102" ht="27" customHeight="1">
      <x:c r="A102" s="2" t="str">
        <x:v>SIM-2025-0097</x:v>
      </x:c>
      <x:c r="B102" s="2" t="str">
        <x:v>2025-04-03</x:v>
      </x:c>
      <x:c r="C102" s="2" t="n">
        <x:v>4</x:v>
      </x:c>
      <x:c r="D102" s="2" t="str">
        <x:v>가상 고객안내팀</x:v>
      </x:c>
      <x:c r="E102" s="2" t="str">
        <x:v>설비점검지원</x:v>
      </x:c>
      <x:c r="F102" s="2" t="str">
        <x:v>수의계약</x:v>
      </x:c>
      <x:c r="G102" s="2" t="str">
        <x:v>설비점검지원 가상 과제 097</x:v>
      </x:c>
      <x:c r="H102" s="2" t="str">
        <x:v>가상업체01</x:v>
      </x:c>
      <x:c r="I102" s="5" t="n">
        <x:v>73000000</x:v>
      </x:c>
      <x:c r="J102" s="2" t="str">
        <x:v>완료</x:v>
      </x:c>
      <x:c r="K102" s="2" t="n">
        <x:v>1</x:v>
      </x:c>
      <x:c r="L102" s="2" t="str">
        <x:v>교육용 가상자료</x:v>
      </x:c>
    </x:row>
    <x:row r="103" ht="27" customHeight="1">
      <x:c r="A103" s="2" t="str">
        <x:v>SIM-2025-0098</x:v>
      </x:c>
      <x:c r="B103" s="2" t="str">
        <x:v>2025-04-07</x:v>
      </x:c>
      <x:c r="C103" s="2" t="n">
        <x:v>4</x:v>
      </x:c>
      <x:c r="D103" s="2" t="str">
        <x:v>가상 업무교육팀</x:v>
      </x:c>
      <x:c r="E103" s="2" t="str">
        <x:v>안내자료제작</x:v>
      </x:c>
      <x:c r="F103" s="2" t="str">
        <x:v>수의계약</x:v>
      </x:c>
      <x:c r="G103" s="2" t="str">
        <x:v>안내자료제작 가상 과제 098</x:v>
      </x:c>
      <x:c r="H103" s="2" t="str">
        <x:v>가상업체02</x:v>
      </x:c>
      <x:c r="I103" s="5" t="n">
        <x:v>40000000</x:v>
      </x:c>
      <x:c r="J103" s="2" t="str">
        <x:v>완료</x:v>
      </x:c>
      <x:c r="K103" s="2" t="n">
        <x:v>0</x:v>
      </x:c>
      <x:c r="L103" s="2" t="str">
        <x:v>교육용 가상자료</x:v>
      </x:c>
    </x:row>
    <x:row r="104" ht="27" customHeight="1">
      <x:c r="A104" s="2" t="str">
        <x:v>SIM-2025-0099</x:v>
      </x:c>
      <x:c r="B104" s="2" t="str">
        <x:v>2025-04-15</x:v>
      </x:c>
      <x:c r="C104" s="2" t="n">
        <x:v>4</x:v>
      </x:c>
      <x:c r="D104" s="2" t="str">
        <x:v>가상 사업관리팀</x:v>
      </x:c>
      <x:c r="E104" s="2" t="str">
        <x:v>업무교육</x:v>
      </x:c>
      <x:c r="F104" s="2" t="str">
        <x:v>일반경쟁</x:v>
      </x:c>
      <x:c r="G104" s="2" t="str">
        <x:v>업무교육 가상 과제 099</x:v>
      </x:c>
      <x:c r="H104" s="2" t="str">
        <x:v>가상업체03</x:v>
      </x:c>
      <x:c r="I104" s="5" t="n">
        <x:v>15000000</x:v>
      </x:c>
      <x:c r="J104" s="2" t="str">
        <x:v>완료</x:v>
      </x:c>
      <x:c r="K104" s="2" t="n">
        <x:v>1</x:v>
      </x:c>
      <x:c r="L104" s="2" t="str">
        <x:v>교육용 가상자료</x:v>
      </x:c>
    </x:row>
    <x:row r="105" ht="27" customHeight="1">
      <x:c r="A105" s="2" t="str">
        <x:v>SIM-2025-0100</x:v>
      </x:c>
      <x:c r="B105" s="2" t="str">
        <x:v>2025-04-15</x:v>
      </x:c>
      <x:c r="C105" s="2" t="n">
        <x:v>4</x:v>
      </x:c>
      <x:c r="D105" s="2" t="str">
        <x:v>가상 자료정비팀</x:v>
      </x:c>
      <x:c r="E105" s="2" t="str">
        <x:v>기록정비지원</x:v>
      </x:c>
      <x:c r="F105" s="2" t="str">
        <x:v>일반경쟁</x:v>
      </x:c>
      <x:c r="G105" s="2" t="str">
        <x:v>기록정비지원 가상 과제 100</x:v>
      </x:c>
      <x:c r="H105" s="2" t="str">
        <x:v>가상업체04</x:v>
      </x:c>
      <x:c r="I105" s="5" t="n">
        <x:v>45000000</x:v>
      </x:c>
      <x:c r="J105" s="2" t="str">
        <x:v>완료</x:v>
      </x:c>
      <x:c r="K105" s="2" t="n">
        <x:v>2</x:v>
      </x:c>
      <x:c r="L105" s="2" t="str">
        <x:v>교육용 가상자료</x:v>
      </x:c>
    </x:row>
    <x:row r="106" ht="27" customHeight="1">
      <x:c r="A106" s="2" t="str">
        <x:v>SIM-2025-0101</x:v>
      </x:c>
      <x:c r="B106" s="2" t="str">
        <x:v>2025-05-09</x:v>
      </x:c>
      <x:c r="C106" s="2" t="n">
        <x:v>5</x:v>
      </x:c>
      <x:c r="D106" s="2" t="str">
        <x:v>가상 설비지원팀</x:v>
      </x:c>
      <x:c r="E106" s="2" t="str">
        <x:v>설비점검지원</x:v>
      </x:c>
      <x:c r="F106" s="2" t="str">
        <x:v>일반경쟁</x:v>
      </x:c>
      <x:c r="G106" s="2" t="str">
        <x:v>설비점검지원 가상 과제 101</x:v>
      </x:c>
      <x:c r="H106" s="2" t="str">
        <x:v>가상업체05</x:v>
      </x:c>
      <x:c r="I106" s="5" t="n">
        <x:v>31000000</x:v>
      </x:c>
      <x:c r="J106" s="2" t="str">
        <x:v>완료</x:v>
      </x:c>
      <x:c r="K106" s="2" t="n">
        <x:v>1</x:v>
      </x:c>
      <x:c r="L106" s="2" t="str">
        <x:v>교육용 가상자료</x:v>
      </x:c>
    </x:row>
    <x:row r="107" ht="27" customHeight="1">
      <x:c r="A107" s="2" t="str">
        <x:v>SIM-2025-0102</x:v>
      </x:c>
      <x:c r="B107" s="2" t="str">
        <x:v>2025-05-12</x:v>
      </x:c>
      <x:c r="C107" s="2" t="n">
        <x:v>5</x:v>
      </x:c>
      <x:c r="D107" s="2" t="str">
        <x:v>가상 고객안내팀</x:v>
      </x:c>
      <x:c r="E107" s="2" t="str">
        <x:v>안내자료제작</x:v>
      </x:c>
      <x:c r="F107" s="2" t="str">
        <x:v>일반경쟁</x:v>
      </x:c>
      <x:c r="G107" s="2" t="str">
        <x:v>안내자료제작 가상 과제 102</x:v>
      </x:c>
      <x:c r="H107" s="2" t="str">
        <x:v>가상업체06</x:v>
      </x:c>
      <x:c r="I107" s="5" t="n">
        <x:v>43000000</x:v>
      </x:c>
      <x:c r="J107" s="2" t="str">
        <x:v>완료</x:v>
      </x:c>
      <x:c r="K107" s="2" t="n">
        <x:v>3</x:v>
      </x:c>
      <x:c r="L107" s="2" t="str">
        <x:v>교육용 가상자료</x:v>
      </x:c>
    </x:row>
    <x:row r="108" ht="27" customHeight="1">
      <x:c r="A108" s="2" t="str">
        <x:v>SIM-2025-0103</x:v>
      </x:c>
      <x:c r="B108" s="2" t="str">
        <x:v>2025-05-18</x:v>
      </x:c>
      <x:c r="C108" s="2" t="n">
        <x:v>5</x:v>
      </x:c>
      <x:c r="D108" s="2" t="str">
        <x:v>가상 업무교육팀</x:v>
      </x:c>
      <x:c r="E108" s="2" t="str">
        <x:v>업무교육</x:v>
      </x:c>
      <x:c r="F108" s="2" t="str">
        <x:v>일반경쟁</x:v>
      </x:c>
      <x:c r="G108" s="2" t="str">
        <x:v>업무교육 가상 과제 103</x:v>
      </x:c>
      <x:c r="H108" s="2" t="str">
        <x:v>가상업체07</x:v>
      </x:c>
      <x:c r="I108" s="5" t="n">
        <x:v>75000000</x:v>
      </x:c>
      <x:c r="J108" s="2" t="str">
        <x:v>완료</x:v>
      </x:c>
      <x:c r="K108" s="2" t="n">
        <x:v>0</x:v>
      </x:c>
      <x:c r="L108" s="2" t="str">
        <x:v>교육용 가상자료</x:v>
      </x:c>
    </x:row>
    <x:row r="109" ht="27" customHeight="1">
      <x:c r="A109" s="2" t="str">
        <x:v>SIM-2025-0104</x:v>
      </x:c>
      <x:c r="B109" s="2" t="str">
        <x:v>2025-05-13</x:v>
      </x:c>
      <x:c r="C109" s="2" t="n">
        <x:v>5</x:v>
      </x:c>
      <x:c r="D109" s="2" t="str">
        <x:v>가상 사업관리팀</x:v>
      </x:c>
      <x:c r="E109" s="2" t="str">
        <x:v>기록정비지원</x:v>
      </x:c>
      <x:c r="F109" s="2" t="str">
        <x:v>제한경쟁</x:v>
      </x:c>
      <x:c r="G109" s="2" t="str">
        <x:v>기록정비지원 가상 과제 104</x:v>
      </x:c>
      <x:c r="H109" s="2" t="str">
        <x:v>가상업체08</x:v>
      </x:c>
      <x:c r="I109" s="5" t="n">
        <x:v>10000000</x:v>
      </x:c>
      <x:c r="J109" s="2" t="str">
        <x:v>완료</x:v>
      </x:c>
      <x:c r="K109" s="2" t="n">
        <x:v>0</x:v>
      </x:c>
      <x:c r="L109" s="2" t="str">
        <x:v>교육용 가상자료</x:v>
      </x:c>
    </x:row>
    <x:row r="110" ht="27" customHeight="1">
      <x:c r="A110" s="2" t="str">
        <x:v>SIM-2025-0105</x:v>
      </x:c>
      <x:c r="B110" s="2" t="str">
        <x:v>2025-05-16</x:v>
      </x:c>
      <x:c r="C110" s="2" t="n">
        <x:v>5</x:v>
      </x:c>
      <x:c r="D110" s="2" t="str">
        <x:v>가상 자료정비팀</x:v>
      </x:c>
      <x:c r="E110" s="2" t="str">
        <x:v>설비점검지원</x:v>
      </x:c>
      <x:c r="F110" s="2" t="str">
        <x:v>수의계약</x:v>
      </x:c>
      <x:c r="G110" s="2" t="str">
        <x:v>설비점검지원 가상 과제 105</x:v>
      </x:c>
      <x:c r="H110" s="2" t="str">
        <x:v>가상업체09</x:v>
      </x:c>
      <x:c r="I110" s="5" t="n">
        <x:v>14000000</x:v>
      </x:c>
      <x:c r="J110" s="2" t="str">
        <x:v>완료</x:v>
      </x:c>
      <x:c r="K110" s="2" t="n">
        <x:v>1</x:v>
      </x:c>
      <x:c r="L110" s="2" t="str">
        <x:v>교육용 가상자료</x:v>
      </x:c>
    </x:row>
    <x:row r="111" ht="27" customHeight="1">
      <x:c r="A111" s="2" t="str">
        <x:v>SIM-2025-0106</x:v>
      </x:c>
      <x:c r="B111" s="2" t="str">
        <x:v>2025-05-06</x:v>
      </x:c>
      <x:c r="C111" s="2" t="n">
        <x:v>5</x:v>
      </x:c>
      <x:c r="D111" s="2" t="str">
        <x:v>가상 설비지원팀</x:v>
      </x:c>
      <x:c r="E111" s="2" t="str">
        <x:v>안내자료제작</x:v>
      </x:c>
      <x:c r="F111" s="2" t="str">
        <x:v>수의계약</x:v>
      </x:c>
      <x:c r="G111" s="2" t="str">
        <x:v>안내자료제작 가상 과제 106</x:v>
      </x:c>
      <x:c r="H111" s="2" t="str">
        <x:v>가상업체10</x:v>
      </x:c>
      <x:c r="I111" s="5" t="n">
        <x:v>18000000</x:v>
      </x:c>
      <x:c r="J111" s="2" t="str">
        <x:v>완료</x:v>
      </x:c>
      <x:c r="K111" s="2" t="n">
        <x:v>1</x:v>
      </x:c>
      <x:c r="L111" s="2" t="str">
        <x:v>교육용 가상자료</x:v>
      </x:c>
    </x:row>
    <x:row r="112" ht="27" customHeight="1">
      <x:c r="A112" s="2" t="str">
        <x:v>SIM-2025-0107</x:v>
      </x:c>
      <x:c r="B112" s="2" t="str">
        <x:v>2025-05-01</x:v>
      </x:c>
      <x:c r="C112" s="2" t="n">
        <x:v>5</x:v>
      </x:c>
      <x:c r="D112" s="2" t="str">
        <x:v>가상 고객안내팀</x:v>
      </x:c>
      <x:c r="E112" s="2" t="str">
        <x:v>업무교육</x:v>
      </x:c>
      <x:c r="F112" s="2" t="str">
        <x:v>일반경쟁</x:v>
      </x:c>
      <x:c r="G112" s="2" t="str">
        <x:v>업무교육 가상 과제 107</x:v>
      </x:c>
      <x:c r="H112" s="2" t="str">
        <x:v>가상업체11</x:v>
      </x:c>
      <x:c r="I112" s="5" t="n">
        <x:v>67000000</x:v>
      </x:c>
      <x:c r="J112" s="2" t="str">
        <x:v>완료</x:v>
      </x:c>
      <x:c r="K112" s="2" t="n">
        <x:v>1</x:v>
      </x:c>
      <x:c r="L112" s="2" t="str">
        <x:v>교육용 가상자료</x:v>
      </x:c>
    </x:row>
    <x:row r="113" ht="27" customHeight="1">
      <x:c r="A113" s="2" t="str">
        <x:v>SIM-2025-0108</x:v>
      </x:c>
      <x:c r="B113" s="2" t="str">
        <x:v>2025-05-21</x:v>
      </x:c>
      <x:c r="C113" s="2" t="n">
        <x:v>5</x:v>
      </x:c>
      <x:c r="D113" s="2" t="str">
        <x:v>가상 업무교육팀</x:v>
      </x:c>
      <x:c r="E113" s="2" t="str">
        <x:v>기록정비지원</x:v>
      </x:c>
      <x:c r="F113" s="2" t="str">
        <x:v>일반경쟁</x:v>
      </x:c>
      <x:c r="G113" s="2" t="str">
        <x:v>기록정비지원 가상 과제 108</x:v>
      </x:c>
      <x:c r="H113" s="2" t="str">
        <x:v>가상업체12</x:v>
      </x:c>
      <x:c r="I113" s="5" t="n">
        <x:v>68000000</x:v>
      </x:c>
      <x:c r="J113" s="2" t="str">
        <x:v>완료</x:v>
      </x:c>
      <x:c r="K113" s="2" t="n">
        <x:v>1</x:v>
      </x:c>
      <x:c r="L113" s="2" t="str">
        <x:v>교육용 가상자료</x:v>
      </x:c>
    </x:row>
    <x:row r="114" ht="27" customHeight="1">
      <x:c r="A114" s="2" t="str">
        <x:v>SIM-2025-0109</x:v>
      </x:c>
      <x:c r="B114" s="2" t="str">
        <x:v>2025-05-24</x:v>
      </x:c>
      <x:c r="C114" s="2" t="n">
        <x:v>5</x:v>
      </x:c>
      <x:c r="D114" s="2" t="str">
        <x:v>가상 사업관리팀</x:v>
      </x:c>
      <x:c r="E114" s="2" t="str">
        <x:v>설비점검지원</x:v>
      </x:c>
      <x:c r="F114" s="2" t="str">
        <x:v>일반경쟁</x:v>
      </x:c>
      <x:c r="G114" s="2" t="str">
        <x:v>설비점검지원 가상 과제 109</x:v>
      </x:c>
      <x:c r="H114" s="2" t="str">
        <x:v>가상업체13</x:v>
      </x:c>
      <x:c r="I114" s="5" t="n">
        <x:v>11000000</x:v>
      </x:c>
      <x:c r="J114" s="2" t="str">
        <x:v>완료</x:v>
      </x:c>
      <x:c r="K114" s="2" t="n">
        <x:v>2</x:v>
      </x:c>
      <x:c r="L114" s="2" t="str">
        <x:v>교육용 가상자료</x:v>
      </x:c>
    </x:row>
    <x:row r="115" ht="27" customHeight="1">
      <x:c r="A115" s="2" t="str">
        <x:v>SIM-2025-0110</x:v>
      </x:c>
      <x:c r="B115" s="2" t="str">
        <x:v>2025-05-26</x:v>
      </x:c>
      <x:c r="C115" s="2" t="n">
        <x:v>5</x:v>
      </x:c>
      <x:c r="D115" s="2" t="str">
        <x:v>가상 자료정비팀</x:v>
      </x:c>
      <x:c r="E115" s="2" t="str">
        <x:v>안내자료제작</x:v>
      </x:c>
      <x:c r="F115" s="2" t="str">
        <x:v>일반경쟁</x:v>
      </x:c>
      <x:c r="G115" s="2" t="str">
        <x:v>안내자료제작 가상 과제 110</x:v>
      </x:c>
      <x:c r="H115" s="2" t="str">
        <x:v>가상업체14</x:v>
      </x:c>
      <x:c r="I115" s="5" t="n">
        <x:v>57000000</x:v>
      </x:c>
      <x:c r="J115" s="2" t="str">
        <x:v>완료</x:v>
      </x:c>
      <x:c r="K115" s="2" t="n">
        <x:v>2</x:v>
      </x:c>
      <x:c r="L115" s="2" t="str">
        <x:v>교육용 가상자료</x:v>
      </x:c>
    </x:row>
    <x:row r="116" ht="27" customHeight="1">
      <x:c r="A116" s="2" t="str">
        <x:v>SIM-2025-0111</x:v>
      </x:c>
      <x:c r="B116" s="2" t="str">
        <x:v>2025-05-05</x:v>
      </x:c>
      <x:c r="C116" s="2" t="n">
        <x:v>5</x:v>
      </x:c>
      <x:c r="D116" s="2" t="str">
        <x:v>가상 설비지원팀</x:v>
      </x:c>
      <x:c r="E116" s="2" t="str">
        <x:v>업무교육</x:v>
      </x:c>
      <x:c r="F116" s="2" t="str">
        <x:v>수의계약</x:v>
      </x:c>
      <x:c r="G116" s="2" t="str">
        <x:v>업무교육 가상 과제 111</x:v>
      </x:c>
      <x:c r="H116" s="2" t="str">
        <x:v>가상업체15</x:v>
      </x:c>
      <x:c r="I116" s="5" t="n">
        <x:v>25000000</x:v>
      </x:c>
      <x:c r="J116" s="2" t="str">
        <x:v>완료</x:v>
      </x:c>
      <x:c r="K116" s="2" t="n">
        <x:v>0</x:v>
      </x:c>
      <x:c r="L116" s="2" t="str">
        <x:v>교육용 가상자료</x:v>
      </x:c>
    </x:row>
    <x:row r="117" ht="27" customHeight="1">
      <x:c r="A117" s="2" t="str">
        <x:v>SIM-2025-0112</x:v>
      </x:c>
      <x:c r="B117" s="2" t="str">
        <x:v>2025-05-25</x:v>
      </x:c>
      <x:c r="C117" s="2" t="n">
        <x:v>5</x:v>
      </x:c>
      <x:c r="D117" s="2" t="str">
        <x:v>가상 고객안내팀</x:v>
      </x:c>
      <x:c r="E117" s="2" t="str">
        <x:v>기록정비지원</x:v>
      </x:c>
      <x:c r="F117" s="2" t="str">
        <x:v>일반경쟁</x:v>
      </x:c>
      <x:c r="G117" s="2" t="str">
        <x:v>기록정비지원 가상 과제 112</x:v>
      </x:c>
      <x:c r="H117" s="2" t="str">
        <x:v>가상업체16</x:v>
      </x:c>
      <x:c r="I117" s="5" t="n">
        <x:v>19000000</x:v>
      </x:c>
      <x:c r="J117" s="2" t="str">
        <x:v>완료</x:v>
      </x:c>
      <x:c r="K117" s="2" t="n">
        <x:v>3</x:v>
      </x:c>
      <x:c r="L117" s="2" t="str">
        <x:v>교육용 가상자료</x:v>
      </x:c>
    </x:row>
    <x:row r="118" ht="27" customHeight="1">
      <x:c r="A118" s="2" t="str">
        <x:v>SIM-2025-0113</x:v>
      </x:c>
      <x:c r="B118" s="2" t="str">
        <x:v>2025-05-19</x:v>
      </x:c>
      <x:c r="C118" s="2" t="n">
        <x:v>5</x:v>
      </x:c>
      <x:c r="D118" s="2" t="str">
        <x:v>가상 업무교육팀</x:v>
      </x:c>
      <x:c r="E118" s="2" t="str">
        <x:v>설비점검지원</x:v>
      </x:c>
      <x:c r="F118" s="2" t="str">
        <x:v>수의계약</x:v>
      </x:c>
      <x:c r="G118" s="2" t="str">
        <x:v>설비점검지원 가상 과제 113</x:v>
      </x:c>
      <x:c r="H118" s="2" t="str">
        <x:v>가상업체17</x:v>
      </x:c>
      <x:c r="I118" s="5" t="n">
        <x:v>74000000</x:v>
      </x:c>
      <x:c r="J118" s="2" t="str">
        <x:v>완료</x:v>
      </x:c>
      <x:c r="K118" s="2" t="n">
        <x:v>0</x:v>
      </x:c>
      <x:c r="L118" s="2" t="str">
        <x:v>교육용 가상자료</x:v>
      </x:c>
    </x:row>
    <x:row r="119" ht="27" customHeight="1">
      <x:c r="A119" s="2" t="str">
        <x:v>SIM-2025-0114</x:v>
      </x:c>
      <x:c r="B119" s="2" t="str">
        <x:v>2025-05-16</x:v>
      </x:c>
      <x:c r="C119" s="2" t="n">
        <x:v>5</x:v>
      </x:c>
      <x:c r="D119" s="2" t="str">
        <x:v>가상 사업관리팀</x:v>
      </x:c>
      <x:c r="E119" s="2" t="str">
        <x:v>안내자료제작</x:v>
      </x:c>
      <x:c r="F119" s="2" t="str">
        <x:v>일반경쟁</x:v>
      </x:c>
      <x:c r="G119" s="2" t="str">
        <x:v>안내자료제작 가상 과제 114</x:v>
      </x:c>
      <x:c r="H119" s="2" t="str">
        <x:v>가상업체18</x:v>
      </x:c>
      <x:c r="I119" s="5" t="n">
        <x:v>52000000</x:v>
      </x:c>
      <x:c r="J119" s="2" t="str">
        <x:v>완료</x:v>
      </x:c>
      <x:c r="K119" s="2" t="n">
        <x:v>2</x:v>
      </x:c>
      <x:c r="L119" s="2" t="str">
        <x:v>교육용 가상자료</x:v>
      </x:c>
    </x:row>
    <x:row r="120" ht="27" customHeight="1">
      <x:c r="A120" s="2" t="str">
        <x:v>SIM-2025-0115</x:v>
      </x:c>
      <x:c r="B120" s="2" t="str">
        <x:v>2025-05-08</x:v>
      </x:c>
      <x:c r="C120" s="2" t="n">
        <x:v>5</x:v>
      </x:c>
      <x:c r="D120" s="2" t="str">
        <x:v>가상 자료정비팀</x:v>
      </x:c>
      <x:c r="E120" s="2" t="str">
        <x:v>업무교육</x:v>
      </x:c>
      <x:c r="F120" s="2" t="str">
        <x:v>일반경쟁</x:v>
      </x:c>
      <x:c r="G120" s="2" t="str">
        <x:v>업무교육 가상 과제 115</x:v>
      </x:c>
      <x:c r="H120" s="2" t="str">
        <x:v>가상업체19</x:v>
      </x:c>
      <x:c r="I120" s="5" t="n">
        <x:v>17000000</x:v>
      </x:c>
      <x:c r="J120" s="2" t="str">
        <x:v>완료</x:v>
      </x:c>
      <x:c r="K120" s="2" t="n">
        <x:v>2</x:v>
      </x:c>
      <x:c r="L120" s="2" t="str">
        <x:v>교육용 가상자료</x:v>
      </x:c>
    </x:row>
    <x:row r="121" ht="27" customHeight="1">
      <x:c r="A121" s="2" t="str">
        <x:v>SIM-2025-0116</x:v>
      </x:c>
      <x:c r="B121" s="2" t="str">
        <x:v>2025-05-15</x:v>
      </x:c>
      <x:c r="C121" s="2" t="n">
        <x:v>5</x:v>
      </x:c>
      <x:c r="D121" s="2" t="str">
        <x:v>가상 설비지원팀</x:v>
      </x:c>
      <x:c r="E121" s="2" t="str">
        <x:v>기록정비지원</x:v>
      </x:c>
      <x:c r="F121" s="2" t="str">
        <x:v>일반경쟁</x:v>
      </x:c>
      <x:c r="G121" s="2" t="str">
        <x:v>기록정비지원 가상 과제 116</x:v>
      </x:c>
      <x:c r="H121" s="2" t="str">
        <x:v>가상업체20</x:v>
      </x:c>
      <x:c r="I121" s="5" t="n">
        <x:v>47000000</x:v>
      </x:c>
      <x:c r="J121" s="2" t="str">
        <x:v>완료</x:v>
      </x:c>
      <x:c r="K121" s="2" t="n">
        <x:v>0</x:v>
      </x:c>
      <x:c r="L121" s="2" t="str">
        <x:v>교육용 가상자료</x:v>
      </x:c>
    </x:row>
    <x:row r="122" ht="27" customHeight="1">
      <x:c r="A122" s="2" t="str">
        <x:v>SIM-2025-0117</x:v>
      </x:c>
      <x:c r="B122" s="2" t="str">
        <x:v>2025-05-19</x:v>
      </x:c>
      <x:c r="C122" s="2" t="n">
        <x:v>5</x:v>
      </x:c>
      <x:c r="D122" s="2" t="str">
        <x:v>가상 고객안내팀</x:v>
      </x:c>
      <x:c r="E122" s="2" t="str">
        <x:v>설비점검지원</x:v>
      </x:c>
      <x:c r="F122" s="2" t="str">
        <x:v>수의계약</x:v>
      </x:c>
      <x:c r="G122" s="2" t="str">
        <x:v>설비점검지원 가상 과제 117</x:v>
      </x:c>
      <x:c r="H122" s="2" t="str">
        <x:v>가상업체21</x:v>
      </x:c>
      <x:c r="I122" s="5" t="n">
        <x:v>40000000</x:v>
      </x:c>
      <x:c r="J122" s="2" t="str">
        <x:v>완료</x:v>
      </x:c>
      <x:c r="K122" s="2" t="n">
        <x:v>1</x:v>
      </x:c>
      <x:c r="L122" s="2" t="str">
        <x:v>교육용 가상자료</x:v>
      </x:c>
    </x:row>
    <x:row r="123" ht="27" customHeight="1">
      <x:c r="A123" s="2" t="str">
        <x:v>SIM-2025-0118</x:v>
      </x:c>
      <x:c r="B123" s="2" t="str">
        <x:v>2025-05-11</x:v>
      </x:c>
      <x:c r="C123" s="2" t="n">
        <x:v>5</x:v>
      </x:c>
      <x:c r="D123" s="2" t="str">
        <x:v>가상 업무교육팀</x:v>
      </x:c>
      <x:c r="E123" s="2" t="str">
        <x:v>안내자료제작</x:v>
      </x:c>
      <x:c r="F123" s="2" t="str">
        <x:v>일반경쟁</x:v>
      </x:c>
      <x:c r="G123" s="2" t="str">
        <x:v>안내자료제작 가상 과제 118</x:v>
      </x:c>
      <x:c r="H123" s="2" t="str">
        <x:v>가상업체22</x:v>
      </x:c>
      <x:c r="I123" s="5" t="n">
        <x:v>66000000</x:v>
      </x:c>
      <x:c r="J123" s="2" t="str">
        <x:v>완료</x:v>
      </x:c>
      <x:c r="K123" s="2" t="n">
        <x:v>2</x:v>
      </x:c>
      <x:c r="L123" s="2" t="str">
        <x:v>교육용 가상자료</x:v>
      </x:c>
    </x:row>
    <x:row r="124" ht="27" customHeight="1">
      <x:c r="A124" s="2" t="str">
        <x:v>SIM-2025-0119</x:v>
      </x:c>
      <x:c r="B124" s="2" t="str">
        <x:v>2025-05-07</x:v>
      </x:c>
      <x:c r="C124" s="2" t="n">
        <x:v>5</x:v>
      </x:c>
      <x:c r="D124" s="2" t="str">
        <x:v>가상 사업관리팀</x:v>
      </x:c>
      <x:c r="E124" s="2" t="str">
        <x:v>업무교육</x:v>
      </x:c>
      <x:c r="F124" s="2" t="str">
        <x:v>제한경쟁</x:v>
      </x:c>
      <x:c r="G124" s="2" t="str">
        <x:v>업무교육 가상 과제 119</x:v>
      </x:c>
      <x:c r="H124" s="2" t="str">
        <x:v>가상업체23</x:v>
      </x:c>
      <x:c r="I124" s="5" t="n">
        <x:v>30000000</x:v>
      </x:c>
      <x:c r="J124" s="2" t="str">
        <x:v>완료</x:v>
      </x:c>
      <x:c r="K124" s="2" t="n">
        <x:v>0</x:v>
      </x:c>
      <x:c r="L124" s="2" t="str">
        <x:v>교육용 가상자료</x:v>
      </x:c>
    </x:row>
    <x:row r="125" ht="27" customHeight="1">
      <x:c r="A125" s="2" t="str">
        <x:v>SIM-2025-0120</x:v>
      </x:c>
      <x:c r="B125" s="2" t="str">
        <x:v>2025-05-26</x:v>
      </x:c>
      <x:c r="C125" s="2" t="n">
        <x:v>5</x:v>
      </x:c>
      <x:c r="D125" s="2" t="str">
        <x:v>가상 자료정비팀</x:v>
      </x:c>
      <x:c r="E125" s="2" t="str">
        <x:v>기록정비지원</x:v>
      </x:c>
      <x:c r="F125" s="2" t="str">
        <x:v>수의계약</x:v>
      </x:c>
      <x:c r="G125" s="2" t="str">
        <x:v>기록정비지원 가상 과제 120</x:v>
      </x:c>
      <x:c r="H125" s="2" t="str">
        <x:v>가상업체24</x:v>
      </x:c>
      <x:c r="I125" s="5" t="n">
        <x:v>61000000</x:v>
      </x:c>
      <x:c r="J125" s="2" t="str">
        <x:v>완료</x:v>
      </x:c>
      <x:c r="K125" s="2" t="n">
        <x:v>0</x:v>
      </x:c>
      <x:c r="L125" s="2" t="str">
        <x:v>교육용 가상자료</x:v>
      </x:c>
    </x:row>
    <x:row r="126" ht="27" customHeight="1">
      <x:c r="A126" s="2" t="str">
        <x:v>SIM-2025-0121</x:v>
      </x:c>
      <x:c r="B126" s="2" t="str">
        <x:v>2025-05-06</x:v>
      </x:c>
      <x:c r="C126" s="2" t="n">
        <x:v>5</x:v>
      </x:c>
      <x:c r="D126" s="2" t="str">
        <x:v>가상 설비지원팀</x:v>
      </x:c>
      <x:c r="E126" s="2" t="str">
        <x:v>설비점검지원</x:v>
      </x:c>
      <x:c r="F126" s="2" t="str">
        <x:v>제한경쟁</x:v>
      </x:c>
      <x:c r="G126" s="2" t="str">
        <x:v>설비점검지원 가상 과제 121</x:v>
      </x:c>
      <x:c r="H126" s="2" t="str">
        <x:v>가상업체01</x:v>
      </x:c>
      <x:c r="I126" s="5" t="n">
        <x:v>72000000</x:v>
      </x:c>
      <x:c r="J126" s="2" t="str">
        <x:v>완료</x:v>
      </x:c>
      <x:c r="K126" s="2" t="n">
        <x:v>0</x:v>
      </x:c>
      <x:c r="L126" s="2" t="str">
        <x:v>교육용 가상자료</x:v>
      </x:c>
    </x:row>
    <x:row r="127" ht="27" customHeight="1">
      <x:c r="A127" s="2" t="str">
        <x:v>SIM-2025-0122</x:v>
      </x:c>
      <x:c r="B127" s="2" t="str">
        <x:v>2025-05-13</x:v>
      </x:c>
      <x:c r="C127" s="2" t="n">
        <x:v>5</x:v>
      </x:c>
      <x:c r="D127" s="2" t="str">
        <x:v>가상 고객안내팀</x:v>
      </x:c>
      <x:c r="E127" s="2" t="str">
        <x:v>안내자료제작</x:v>
      </x:c>
      <x:c r="F127" s="2" t="str">
        <x:v>일반경쟁</x:v>
      </x:c>
      <x:c r="G127" s="2" t="str">
        <x:v>안내자료제작 가상 과제 122</x:v>
      </x:c>
      <x:c r="H127" s="2" t="str">
        <x:v>가상업체02</x:v>
      </x:c>
      <x:c r="I127" s="5" t="n">
        <x:v>26000000</x:v>
      </x:c>
      <x:c r="J127" s="2" t="str">
        <x:v>완료</x:v>
      </x:c>
      <x:c r="K127" s="2" t="n">
        <x:v>0</x:v>
      </x:c>
      <x:c r="L127" s="2" t="str">
        <x:v>교육용 가상자료</x:v>
      </x:c>
    </x:row>
    <x:row r="128" ht="27" customHeight="1">
      <x:c r="A128" s="2" t="str">
        <x:v>SIM-2025-0123</x:v>
      </x:c>
      <x:c r="B128" s="2" t="str">
        <x:v>2025-05-06</x:v>
      </x:c>
      <x:c r="C128" s="2" t="n">
        <x:v>5</x:v>
      </x:c>
      <x:c r="D128" s="2" t="str">
        <x:v>가상 업무교육팀</x:v>
      </x:c>
      <x:c r="E128" s="2" t="str">
        <x:v>업무교육</x:v>
      </x:c>
      <x:c r="F128" s="2" t="str">
        <x:v>제한경쟁</x:v>
      </x:c>
      <x:c r="G128" s="2" t="str">
        <x:v>업무교육 가상 과제 123</x:v>
      </x:c>
      <x:c r="H128" s="2" t="str">
        <x:v>가상업체03</x:v>
      </x:c>
      <x:c r="I128" s="5" t="n">
        <x:v>66000000</x:v>
      </x:c>
      <x:c r="J128" s="2" t="str">
        <x:v>완료</x:v>
      </x:c>
      <x:c r="K128" s="2" t="n">
        <x:v>3</x:v>
      </x:c>
      <x:c r="L128" s="2" t="str">
        <x:v>교육용 가상자료</x:v>
      </x:c>
    </x:row>
    <x:row r="129" ht="27" customHeight="1">
      <x:c r="A129" s="2" t="str">
        <x:v>SIM-2025-0124</x:v>
      </x:c>
      <x:c r="B129" s="2" t="str">
        <x:v>2025-05-22</x:v>
      </x:c>
      <x:c r="C129" s="2" t="n">
        <x:v>5</x:v>
      </x:c>
      <x:c r="D129" s="2" t="str">
        <x:v>가상 사업관리팀</x:v>
      </x:c>
      <x:c r="E129" s="2" t="str">
        <x:v>기록정비지원</x:v>
      </x:c>
      <x:c r="F129" s="2" t="str">
        <x:v>수의계약</x:v>
      </x:c>
      <x:c r="G129" s="2" t="str">
        <x:v>기록정비지원 가상 과제 124</x:v>
      </x:c>
      <x:c r="H129" s="2" t="str">
        <x:v>가상업체04</x:v>
      </x:c>
      <x:c r="I129" s="5" t="n">
        <x:v>53000000</x:v>
      </x:c>
      <x:c r="J129" s="2" t="str">
        <x:v>완료</x:v>
      </x:c>
      <x:c r="K129" s="2" t="n">
        <x:v>0</x:v>
      </x:c>
      <x:c r="L129" s="2" t="str">
        <x:v>교육용 가상자료</x:v>
      </x:c>
    </x:row>
    <x:row r="130" ht="27" customHeight="1">
      <x:c r="A130" s="2" t="str">
        <x:v>SIM-2025-0125</x:v>
      </x:c>
      <x:c r="B130" s="2" t="str">
        <x:v>2025-05-09</x:v>
      </x:c>
      <x:c r="C130" s="2" t="n">
        <x:v>5</x:v>
      </x:c>
      <x:c r="D130" s="2" t="str">
        <x:v>가상 자료정비팀</x:v>
      </x:c>
      <x:c r="E130" s="2" t="str">
        <x:v>설비점검지원</x:v>
      </x:c>
      <x:c r="F130" s="2" t="str">
        <x:v>제한경쟁</x:v>
      </x:c>
      <x:c r="G130" s="2" t="str">
        <x:v>설비점검지원 가상 과제 125</x:v>
      </x:c>
      <x:c r="H130" s="2" t="str">
        <x:v>가상업체05</x:v>
      </x:c>
      <x:c r="I130" s="5" t="n">
        <x:v>71000000</x:v>
      </x:c>
      <x:c r="J130" s="2" t="str">
        <x:v>완료</x:v>
      </x:c>
      <x:c r="K130" s="2" t="n">
        <x:v>0</x:v>
      </x:c>
      <x:c r="L130" s="2" t="str">
        <x:v>교육용 가상자료</x:v>
      </x:c>
    </x:row>
    <x:row r="131" ht="27" customHeight="1">
      <x:c r="A131" s="2" t="str">
        <x:v>SIM-2025-0126</x:v>
      </x:c>
      <x:c r="B131" s="2" t="str">
        <x:v>2025-06-06</x:v>
      </x:c>
      <x:c r="C131" s="2" t="n">
        <x:v>6</x:v>
      </x:c>
      <x:c r="D131" s="2" t="str">
        <x:v>가상 설비지원팀</x:v>
      </x:c>
      <x:c r="E131" s="2" t="str">
        <x:v>안내자료제작</x:v>
      </x:c>
      <x:c r="F131" s="2" t="str">
        <x:v>제한경쟁</x:v>
      </x:c>
      <x:c r="G131" s="2" t="str">
        <x:v>안내자료제작 가상 과제 126</x:v>
      </x:c>
      <x:c r="H131" s="2" t="str">
        <x:v>가상업체06</x:v>
      </x:c>
      <x:c r="I131" s="5" t="n">
        <x:v>56000000</x:v>
      </x:c>
      <x:c r="J131" s="2" t="str">
        <x:v>완료</x:v>
      </x:c>
      <x:c r="K131" s="2" t="n">
        <x:v>2</x:v>
      </x:c>
      <x:c r="L131" s="2" t="str">
        <x:v>교육용 가상자료</x:v>
      </x:c>
    </x:row>
    <x:row r="132" ht="27" customHeight="1">
      <x:c r="A132" s="2" t="str">
        <x:v>SIM-2025-0127</x:v>
      </x:c>
      <x:c r="B132" s="2" t="str">
        <x:v>2025-06-11</x:v>
      </x:c>
      <x:c r="C132" s="2" t="n">
        <x:v>6</x:v>
      </x:c>
      <x:c r="D132" s="2" t="str">
        <x:v>가상 고객안내팀</x:v>
      </x:c>
      <x:c r="E132" s="2" t="str">
        <x:v>업무교육</x:v>
      </x:c>
      <x:c r="F132" s="2" t="str">
        <x:v>수의계약</x:v>
      </x:c>
      <x:c r="G132" s="2" t="str">
        <x:v>업무교육 가상 과제 127</x:v>
      </x:c>
      <x:c r="H132" s="2" t="str">
        <x:v>가상업체07</x:v>
      </x:c>
      <x:c r="I132" s="5" t="n">
        <x:v>60000000</x:v>
      </x:c>
      <x:c r="J132" s="2" t="str">
        <x:v>완료</x:v>
      </x:c>
      <x:c r="K132" s="2" t="n">
        <x:v>0</x:v>
      </x:c>
      <x:c r="L132" s="2" t="str">
        <x:v>교육용 가상자료</x:v>
      </x:c>
    </x:row>
    <x:row r="133" ht="27" customHeight="1">
      <x:c r="A133" s="2" t="str">
        <x:v>SIM-2025-0128</x:v>
      </x:c>
      <x:c r="B133" s="2" t="str">
        <x:v>2025-06-08</x:v>
      </x:c>
      <x:c r="C133" s="2" t="n">
        <x:v>6</x:v>
      </x:c>
      <x:c r="D133" s="2" t="str">
        <x:v>가상 업무교육팀</x:v>
      </x:c>
      <x:c r="E133" s="2" t="str">
        <x:v>기록정비지원</x:v>
      </x:c>
      <x:c r="F133" s="2" t="str">
        <x:v>일반경쟁</x:v>
      </x:c>
      <x:c r="G133" s="2" t="str">
        <x:v>기록정비지원 가상 과제 128</x:v>
      </x:c>
      <x:c r="H133" s="2" t="str">
        <x:v>가상업체08</x:v>
      </x:c>
      <x:c r="I133" s="5" t="n">
        <x:v>41000000</x:v>
      </x:c>
      <x:c r="J133" s="2" t="str">
        <x:v>완료</x:v>
      </x:c>
      <x:c r="K133" s="2" t="n">
        <x:v>1</x:v>
      </x:c>
      <x:c r="L133" s="2" t="str">
        <x:v>교육용 가상자료</x:v>
      </x:c>
    </x:row>
    <x:row r="134" ht="27" customHeight="1">
      <x:c r="A134" s="2" t="str">
        <x:v>SIM-2025-0129</x:v>
      </x:c>
      <x:c r="B134" s="2" t="str">
        <x:v>2025-06-14</x:v>
      </x:c>
      <x:c r="C134" s="2" t="n">
        <x:v>6</x:v>
      </x:c>
      <x:c r="D134" s="2" t="str">
        <x:v>가상 사업관리팀</x:v>
      </x:c>
      <x:c r="E134" s="2" t="str">
        <x:v>설비점검지원</x:v>
      </x:c>
      <x:c r="F134" s="2" t="str">
        <x:v>일반경쟁</x:v>
      </x:c>
      <x:c r="G134" s="2" t="str">
        <x:v>설비점검지원 가상 과제 129</x:v>
      </x:c>
      <x:c r="H134" s="2" t="str">
        <x:v>가상업체09</x:v>
      </x:c>
      <x:c r="I134" s="5" t="n">
        <x:v>70000000</x:v>
      </x:c>
      <x:c r="J134" s="2" t="str">
        <x:v>완료</x:v>
      </x:c>
      <x:c r="K134" s="2" t="n">
        <x:v>1</x:v>
      </x:c>
      <x:c r="L134" s="2" t="str">
        <x:v>교육용 가상자료</x:v>
      </x:c>
    </x:row>
    <x:row r="135" ht="27" customHeight="1">
      <x:c r="A135" s="2" t="str">
        <x:v>SIM-2025-0130</x:v>
      </x:c>
      <x:c r="B135" s="2" t="str">
        <x:v>2025-06-26</x:v>
      </x:c>
      <x:c r="C135" s="2" t="n">
        <x:v>6</x:v>
      </x:c>
      <x:c r="D135" s="2" t="str">
        <x:v>가상 자료정비팀</x:v>
      </x:c>
      <x:c r="E135" s="2" t="str">
        <x:v>안내자료제작</x:v>
      </x:c>
      <x:c r="F135" s="2" t="str">
        <x:v>수의계약</x:v>
      </x:c>
      <x:c r="G135" s="2" t="str">
        <x:v>안내자료제작 가상 과제 130</x:v>
      </x:c>
      <x:c r="H135" s="2" t="str">
        <x:v>가상업체10</x:v>
      </x:c>
      <x:c r="I135" s="5" t="n">
        <x:v>16000000</x:v>
      </x:c>
      <x:c r="J135" s="2" t="str">
        <x:v>완료</x:v>
      </x:c>
      <x:c r="K135" s="2" t="n">
        <x:v>0</x:v>
      </x:c>
      <x:c r="L135" s="2" t="str">
        <x:v>교육용 가상자료</x:v>
      </x:c>
    </x:row>
    <x:row r="136" ht="27" customHeight="1">
      <x:c r="A136" s="2" t="str">
        <x:v>SIM-2025-0131</x:v>
      </x:c>
      <x:c r="B136" s="2" t="str">
        <x:v>2025-06-08</x:v>
      </x:c>
      <x:c r="C136" s="2" t="n">
        <x:v>6</x:v>
      </x:c>
      <x:c r="D136" s="2" t="str">
        <x:v>가상 설비지원팀</x:v>
      </x:c>
      <x:c r="E136" s="2" t="str">
        <x:v>업무교육</x:v>
      </x:c>
      <x:c r="F136" s="2" t="str">
        <x:v>제한경쟁</x:v>
      </x:c>
      <x:c r="G136" s="2" t="str">
        <x:v>업무교육 가상 과제 131</x:v>
      </x:c>
      <x:c r="H136" s="2" t="str">
        <x:v>가상업체11</x:v>
      </x:c>
      <x:c r="I136" s="5" t="n">
        <x:v>27000000</x:v>
      </x:c>
      <x:c r="J136" s="2" t="str">
        <x:v>완료</x:v>
      </x:c>
      <x:c r="K136" s="2" t="n">
        <x:v>0</x:v>
      </x:c>
      <x:c r="L136" s="2" t="str">
        <x:v>교육용 가상자료</x:v>
      </x:c>
    </x:row>
    <x:row r="137" ht="27" customHeight="1">
      <x:c r="A137" s="2" t="str">
        <x:v>SIM-2025-0132</x:v>
      </x:c>
      <x:c r="B137" s="2" t="str">
        <x:v>2025-06-13</x:v>
      </x:c>
      <x:c r="C137" s="2" t="n">
        <x:v>6</x:v>
      </x:c>
      <x:c r="D137" s="2" t="str">
        <x:v>가상 고객안내팀</x:v>
      </x:c>
      <x:c r="E137" s="2" t="str">
        <x:v>기록정비지원</x:v>
      </x:c>
      <x:c r="F137" s="2" t="str">
        <x:v>제한경쟁</x:v>
      </x:c>
      <x:c r="G137" s="2" t="str">
        <x:v>기록정비지원 가상 과제 132</x:v>
      </x:c>
      <x:c r="H137" s="2" t="str">
        <x:v>가상업체12</x:v>
      </x:c>
      <x:c r="I137" s="5" t="n">
        <x:v>9000000</x:v>
      </x:c>
      <x:c r="J137" s="2" t="str">
        <x:v>완료</x:v>
      </x:c>
      <x:c r="K137" s="2" t="n">
        <x:v>2</x:v>
      </x:c>
      <x:c r="L137" s="2" t="str">
        <x:v>교육용 가상자료</x:v>
      </x:c>
    </x:row>
    <x:row r="138" ht="27" customHeight="1">
      <x:c r="A138" s="2" t="str">
        <x:v>SIM-2025-0133</x:v>
      </x:c>
      <x:c r="B138" s="2" t="str">
        <x:v>2025-06-04</x:v>
      </x:c>
      <x:c r="C138" s="2" t="n">
        <x:v>6</x:v>
      </x:c>
      <x:c r="D138" s="2" t="str">
        <x:v>가상 업무교육팀</x:v>
      </x:c>
      <x:c r="E138" s="2" t="str">
        <x:v>설비점검지원</x:v>
      </x:c>
      <x:c r="F138" s="2" t="str">
        <x:v>수의계약</x:v>
      </x:c>
      <x:c r="G138" s="2" t="str">
        <x:v>설비점검지원 가상 과제 133</x:v>
      </x:c>
      <x:c r="H138" s="2" t="str">
        <x:v>가상업체13</x:v>
      </x:c>
      <x:c r="I138" s="5" t="n">
        <x:v>72000000</x:v>
      </x:c>
      <x:c r="J138" s="2" t="str">
        <x:v>완료</x:v>
      </x:c>
      <x:c r="K138" s="2" t="n">
        <x:v>1</x:v>
      </x:c>
      <x:c r="L138" s="2" t="str">
        <x:v>교육용 가상자료</x:v>
      </x:c>
    </x:row>
    <x:row r="139" ht="27" customHeight="1">
      <x:c r="A139" s="2" t="str">
        <x:v>SIM-2025-0134</x:v>
      </x:c>
      <x:c r="B139" s="2" t="str">
        <x:v>2025-06-15</x:v>
      </x:c>
      <x:c r="C139" s="2" t="n">
        <x:v>6</x:v>
      </x:c>
      <x:c r="D139" s="2" t="str">
        <x:v>가상 사업관리팀</x:v>
      </x:c>
      <x:c r="E139" s="2" t="str">
        <x:v>안내자료제작</x:v>
      </x:c>
      <x:c r="F139" s="2" t="str">
        <x:v>수의계약</x:v>
      </x:c>
      <x:c r="G139" s="2" t="str">
        <x:v>안내자료제작 가상 과제 134</x:v>
      </x:c>
      <x:c r="H139" s="2" t="str">
        <x:v>가상업체14</x:v>
      </x:c>
      <x:c r="I139" s="5" t="n">
        <x:v>38000000</x:v>
      </x:c>
      <x:c r="J139" s="2" t="str">
        <x:v>완료</x:v>
      </x:c>
      <x:c r="K139" s="2" t="n">
        <x:v>3</x:v>
      </x:c>
      <x:c r="L139" s="2" t="str">
        <x:v>교육용 가상자료</x:v>
      </x:c>
    </x:row>
    <x:row r="140" ht="27" customHeight="1">
      <x:c r="A140" s="2" t="str">
        <x:v>SIM-2025-0135</x:v>
      </x:c>
      <x:c r="B140" s="2" t="str">
        <x:v>2025-06-24</x:v>
      </x:c>
      <x:c r="C140" s="2" t="n">
        <x:v>6</x:v>
      </x:c>
      <x:c r="D140" s="2" t="str">
        <x:v>가상 자료정비팀</x:v>
      </x:c>
      <x:c r="E140" s="2" t="str">
        <x:v>업무교육</x:v>
      </x:c>
      <x:c r="F140" s="2" t="str">
        <x:v>수의계약</x:v>
      </x:c>
      <x:c r="G140" s="2" t="str">
        <x:v>업무교육 가상 과제 135</x:v>
      </x:c>
      <x:c r="H140" s="2" t="str">
        <x:v>가상업체15</x:v>
      </x:c>
      <x:c r="I140" s="5" t="n">
        <x:v>52000000</x:v>
      </x:c>
      <x:c r="J140" s="2" t="str">
        <x:v>완료</x:v>
      </x:c>
      <x:c r="K140" s="2" t="n">
        <x:v>1</x:v>
      </x:c>
      <x:c r="L140" s="2" t="str">
        <x:v>교육용 가상자료</x:v>
      </x:c>
    </x:row>
    <x:row r="141" ht="27" customHeight="1">
      <x:c r="A141" s="2" t="str">
        <x:v>SIM-2025-0136</x:v>
      </x:c>
      <x:c r="B141" s="2" t="str">
        <x:v>2025-06-05</x:v>
      </x:c>
      <x:c r="C141" s="2" t="n">
        <x:v>6</x:v>
      </x:c>
      <x:c r="D141" s="2" t="str">
        <x:v>가상 설비지원팀</x:v>
      </x:c>
      <x:c r="E141" s="2" t="str">
        <x:v>기록정비지원</x:v>
      </x:c>
      <x:c r="F141" s="2" t="str">
        <x:v>수의계약</x:v>
      </x:c>
      <x:c r="G141" s="2" t="str">
        <x:v>기록정비지원 가상 과제 136</x:v>
      </x:c>
      <x:c r="H141" s="2" t="str">
        <x:v>가상업체16</x:v>
      </x:c>
      <x:c r="I141" s="5" t="n">
        <x:v>58000000</x:v>
      </x:c>
      <x:c r="J141" s="2" t="str">
        <x:v>완료</x:v>
      </x:c>
      <x:c r="K141" s="2" t="n">
        <x:v>0</x:v>
      </x:c>
      <x:c r="L141" s="2" t="str">
        <x:v>교육용 가상자료</x:v>
      </x:c>
    </x:row>
    <x:row r="142" ht="27" customHeight="1">
      <x:c r="A142" s="2" t="str">
        <x:v>SIM-2025-0137</x:v>
      </x:c>
      <x:c r="B142" s="2" t="str">
        <x:v>2025-06-17</x:v>
      </x:c>
      <x:c r="C142" s="2" t="n">
        <x:v>6</x:v>
      </x:c>
      <x:c r="D142" s="2" t="str">
        <x:v>가상 고객안내팀</x:v>
      </x:c>
      <x:c r="E142" s="2" t="str">
        <x:v>설비점검지원</x:v>
      </x:c>
      <x:c r="F142" s="2" t="str">
        <x:v>일반경쟁</x:v>
      </x:c>
      <x:c r="G142" s="2" t="str">
        <x:v>설비점검지원 가상 과제 137</x:v>
      </x:c>
      <x:c r="H142" s="2" t="str">
        <x:v>가상업체17</x:v>
      </x:c>
      <x:c r="I142" s="5" t="n">
        <x:v>41000000</x:v>
      </x:c>
      <x:c r="J142" s="2" t="str">
        <x:v>완료</x:v>
      </x:c>
      <x:c r="K142" s="2" t="n">
        <x:v>3</x:v>
      </x:c>
      <x:c r="L142" s="2" t="str">
        <x:v>교육용 가상자료</x:v>
      </x:c>
    </x:row>
    <x:row r="143" ht="27" customHeight="1">
      <x:c r="A143" s="2" t="str">
        <x:v>SIM-2025-0138</x:v>
      </x:c>
      <x:c r="B143" s="2" t="str">
        <x:v>2025-06-16</x:v>
      </x:c>
      <x:c r="C143" s="2" t="n">
        <x:v>6</x:v>
      </x:c>
      <x:c r="D143" s="2" t="str">
        <x:v>가상 업무교육팀</x:v>
      </x:c>
      <x:c r="E143" s="2" t="str">
        <x:v>안내자료제작</x:v>
      </x:c>
      <x:c r="F143" s="2" t="str">
        <x:v>수의계약</x:v>
      </x:c>
      <x:c r="G143" s="2" t="str">
        <x:v>안내자료제작 가상 과제 138</x:v>
      </x:c>
      <x:c r="H143" s="2" t="str">
        <x:v>가상업체18</x:v>
      </x:c>
      <x:c r="I143" s="5" t="n">
        <x:v>36000000</x:v>
      </x:c>
      <x:c r="J143" s="2" t="str">
        <x:v>완료</x:v>
      </x:c>
      <x:c r="K143" s="2" t="n">
        <x:v>0</x:v>
      </x:c>
      <x:c r="L143" s="2" t="str">
        <x:v>교육용 가상자료</x:v>
      </x:c>
    </x:row>
    <x:row r="144" ht="27" customHeight="1">
      <x:c r="A144" s="2" t="str">
        <x:v>SIM-2025-0139</x:v>
      </x:c>
      <x:c r="B144" s="2" t="str">
        <x:v>2025-06-13</x:v>
      </x:c>
      <x:c r="C144" s="2" t="n">
        <x:v>6</x:v>
      </x:c>
      <x:c r="D144" s="2" t="str">
        <x:v>가상 사업관리팀</x:v>
      </x:c>
      <x:c r="E144" s="2" t="str">
        <x:v>업무교육</x:v>
      </x:c>
      <x:c r="F144" s="2" t="str">
        <x:v>제한경쟁</x:v>
      </x:c>
      <x:c r="G144" s="2" t="str">
        <x:v>업무교육 가상 과제 139</x:v>
      </x:c>
      <x:c r="H144" s="2" t="str">
        <x:v>가상업체19</x:v>
      </x:c>
      <x:c r="I144" s="5" t="n">
        <x:v>50000000</x:v>
      </x:c>
      <x:c r="J144" s="2" t="str">
        <x:v>완료</x:v>
      </x:c>
      <x:c r="K144" s="2" t="n">
        <x:v>0</x:v>
      </x:c>
      <x:c r="L144" s="2" t="str">
        <x:v>교육용 가상자료</x:v>
      </x:c>
    </x:row>
    <x:row r="145" ht="27" customHeight="1">
      <x:c r="A145" s="2" t="str">
        <x:v>SIM-2025-0140</x:v>
      </x:c>
      <x:c r="B145" s="2" t="str">
        <x:v>2025-06-11</x:v>
      </x:c>
      <x:c r="C145" s="2" t="n">
        <x:v>6</x:v>
      </x:c>
      <x:c r="D145" s="2" t="str">
        <x:v>가상 자료정비팀</x:v>
      </x:c>
      <x:c r="E145" s="2" t="str">
        <x:v>기록정비지원</x:v>
      </x:c>
      <x:c r="F145" s="2" t="str">
        <x:v>일반경쟁</x:v>
      </x:c>
      <x:c r="G145" s="2" t="str">
        <x:v>기록정비지원 가상 과제 140</x:v>
      </x:c>
      <x:c r="H145" s="2" t="str">
        <x:v>가상업체20</x:v>
      </x:c>
      <x:c r="I145" s="5" t="n">
        <x:v>66000000</x:v>
      </x:c>
      <x:c r="J145" s="2" t="str">
        <x:v>완료</x:v>
      </x:c>
      <x:c r="K145" s="2" t="n">
        <x:v>2</x:v>
      </x:c>
      <x:c r="L145" s="2" t="str">
        <x:v>교육용 가상자료</x:v>
      </x:c>
    </x:row>
    <x:row r="146" ht="27" customHeight="1">
      <x:c r="A146" s="2" t="str">
        <x:v>SIM-2025-0141</x:v>
      </x:c>
      <x:c r="B146" s="2" t="str">
        <x:v>2025-06-18</x:v>
      </x:c>
      <x:c r="C146" s="2" t="n">
        <x:v>6</x:v>
      </x:c>
      <x:c r="D146" s="2" t="str">
        <x:v>가상 설비지원팀</x:v>
      </x:c>
      <x:c r="E146" s="2" t="str">
        <x:v>설비점검지원</x:v>
      </x:c>
      <x:c r="F146" s="2" t="str">
        <x:v>수의계약</x:v>
      </x:c>
      <x:c r="G146" s="2" t="str">
        <x:v>설비점검지원 가상 과제 141</x:v>
      </x:c>
      <x:c r="H146" s="2" t="str">
        <x:v>가상업체21</x:v>
      </x:c>
      <x:c r="I146" s="5" t="n">
        <x:v>65000000</x:v>
      </x:c>
      <x:c r="J146" s="2" t="str">
        <x:v>완료</x:v>
      </x:c>
      <x:c r="K146" s="2" t="n">
        <x:v>1</x:v>
      </x:c>
      <x:c r="L146" s="2" t="str">
        <x:v>교육용 가상자료</x:v>
      </x:c>
    </x:row>
    <x:row r="147" ht="27" customHeight="1">
      <x:c r="A147" s="2" t="str">
        <x:v>SIM-2025-0142</x:v>
      </x:c>
      <x:c r="B147" s="2" t="str">
        <x:v>2025-06-19</x:v>
      </x:c>
      <x:c r="C147" s="2" t="n">
        <x:v>6</x:v>
      </x:c>
      <x:c r="D147" s="2" t="str">
        <x:v>가상 고객안내팀</x:v>
      </x:c>
      <x:c r="E147" s="2" t="str">
        <x:v>안내자료제작</x:v>
      </x:c>
      <x:c r="F147" s="2" t="str">
        <x:v>수의계약</x:v>
      </x:c>
      <x:c r="G147" s="2" t="str">
        <x:v>안내자료제작 가상 과제 142</x:v>
      </x:c>
      <x:c r="H147" s="2" t="str">
        <x:v>가상업체22</x:v>
      </x:c>
      <x:c r="I147" s="5" t="n">
        <x:v>70000000</x:v>
      </x:c>
      <x:c r="J147" s="2" t="str">
        <x:v>완료</x:v>
      </x:c>
      <x:c r="K147" s="2" t="n">
        <x:v>3</x:v>
      </x:c>
      <x:c r="L147" s="2" t="str">
        <x:v>교육용 가상자료</x:v>
      </x:c>
    </x:row>
    <x:row r="148" ht="27" customHeight="1">
      <x:c r="A148" s="2" t="str">
        <x:v>SIM-2025-0143</x:v>
      </x:c>
      <x:c r="B148" s="2" t="str">
        <x:v>2025-06-13</x:v>
      </x:c>
      <x:c r="C148" s="2" t="n">
        <x:v>6</x:v>
      </x:c>
      <x:c r="D148" s="2" t="str">
        <x:v>가상 업무교육팀</x:v>
      </x:c>
      <x:c r="E148" s="2" t="str">
        <x:v>업무교육</x:v>
      </x:c>
      <x:c r="F148" s="2" t="str">
        <x:v>수의계약</x:v>
      </x:c>
      <x:c r="G148" s="2" t="str">
        <x:v>업무교육 가상 과제 143</x:v>
      </x:c>
      <x:c r="H148" s="2" t="str">
        <x:v>가상업체23</x:v>
      </x:c>
      <x:c r="I148" s="5" t="n">
        <x:v>51000000</x:v>
      </x:c>
      <x:c r="J148" s="2" t="str">
        <x:v>완료</x:v>
      </x:c>
      <x:c r="K148" s="2" t="n">
        <x:v>3</x:v>
      </x:c>
      <x:c r="L148" s="2" t="str">
        <x:v>교육용 가상자료</x:v>
      </x:c>
    </x:row>
    <x:row r="149" ht="27" customHeight="1">
      <x:c r="A149" s="2" t="str">
        <x:v>SIM-2025-0144</x:v>
      </x:c>
      <x:c r="B149" s="2" t="str">
        <x:v>2025-06-11</x:v>
      </x:c>
      <x:c r="C149" s="2" t="n">
        <x:v>6</x:v>
      </x:c>
      <x:c r="D149" s="2" t="str">
        <x:v>가상 사업관리팀</x:v>
      </x:c>
      <x:c r="E149" s="2" t="str">
        <x:v>기록정비지원</x:v>
      </x:c>
      <x:c r="F149" s="2" t="str">
        <x:v>수의계약</x:v>
      </x:c>
      <x:c r="G149" s="2" t="str">
        <x:v>기록정비지원 가상 과제 144</x:v>
      </x:c>
      <x:c r="H149" s="2" t="str">
        <x:v>가상업체24</x:v>
      </x:c>
      <x:c r="I149" s="5" t="n">
        <x:v>22000000</x:v>
      </x:c>
      <x:c r="J149" s="2" t="str">
        <x:v>완료</x:v>
      </x:c>
      <x:c r="K149" s="2" t="n">
        <x:v>2</x:v>
      </x:c>
      <x:c r="L149" s="2" t="str">
        <x:v>교육용 가상자료</x:v>
      </x:c>
    </x:row>
    <x:row r="150" ht="27" customHeight="1">
      <x:c r="A150" s="2" t="str">
        <x:v>SIM-2025-0145</x:v>
      </x:c>
      <x:c r="B150" s="2" t="str">
        <x:v>2025-06-24</x:v>
      </x:c>
      <x:c r="C150" s="2" t="n">
        <x:v>6</x:v>
      </x:c>
      <x:c r="D150" s="2" t="str">
        <x:v>가상 자료정비팀</x:v>
      </x:c>
      <x:c r="E150" s="2" t="str">
        <x:v>설비점검지원</x:v>
      </x:c>
      <x:c r="F150" s="2" t="str">
        <x:v>수의계약</x:v>
      </x:c>
      <x:c r="G150" s="2" t="str">
        <x:v>설비점검지원 가상 과제 145</x:v>
      </x:c>
      <x:c r="H150" s="2" t="str">
        <x:v>가상업체01</x:v>
      </x:c>
      <x:c r="I150" s="5" t="n">
        <x:v>71000000</x:v>
      </x:c>
      <x:c r="J150" s="2" t="str">
        <x:v>완료</x:v>
      </x:c>
      <x:c r="K150" s="2" t="n">
        <x:v>0</x:v>
      </x:c>
      <x:c r="L150" s="2" t="str">
        <x:v>교육용 가상자료</x:v>
      </x:c>
    </x:row>
    <x:row r="151" ht="27" customHeight="1">
      <x:c r="A151" s="2" t="str">
        <x:v>SIM-2025-0146</x:v>
      </x:c>
      <x:c r="B151" s="2" t="str">
        <x:v>2025-06-17</x:v>
      </x:c>
      <x:c r="C151" s="2" t="n">
        <x:v>6</x:v>
      </x:c>
      <x:c r="D151" s="2" t="str">
        <x:v>가상 설비지원팀</x:v>
      </x:c>
      <x:c r="E151" s="2" t="str">
        <x:v>안내자료제작</x:v>
      </x:c>
      <x:c r="F151" s="2" t="str">
        <x:v>제한경쟁</x:v>
      </x:c>
      <x:c r="G151" s="2" t="str">
        <x:v>안내자료제작 가상 과제 146</x:v>
      </x:c>
      <x:c r="H151" s="2" t="str">
        <x:v>가상업체02</x:v>
      </x:c>
      <x:c r="I151" s="5" t="n">
        <x:v>8000000</x:v>
      </x:c>
      <x:c r="J151" s="2" t="str">
        <x:v>완료</x:v>
      </x:c>
      <x:c r="K151" s="2" t="n">
        <x:v>3</x:v>
      </x:c>
      <x:c r="L151" s="2" t="str">
        <x:v>교육용 가상자료</x:v>
      </x:c>
    </x:row>
    <x:row r="152" ht="27" customHeight="1">
      <x:c r="A152" s="2" t="str">
        <x:v>SIM-2025-0147</x:v>
      </x:c>
      <x:c r="B152" s="2" t="str">
        <x:v>2025-06-18</x:v>
      </x:c>
      <x:c r="C152" s="2" t="n">
        <x:v>6</x:v>
      </x:c>
      <x:c r="D152" s="2" t="str">
        <x:v>가상 고객안내팀</x:v>
      </x:c>
      <x:c r="E152" s="2" t="str">
        <x:v>업무교육</x:v>
      </x:c>
      <x:c r="F152" s="2" t="str">
        <x:v>일반경쟁</x:v>
      </x:c>
      <x:c r="G152" s="2" t="str">
        <x:v>업무교육 가상 과제 147</x:v>
      </x:c>
      <x:c r="H152" s="2" t="str">
        <x:v>가상업체03</x:v>
      </x:c>
      <x:c r="I152" s="5" t="n">
        <x:v>54000000</x:v>
      </x:c>
      <x:c r="J152" s="2" t="str">
        <x:v>완료</x:v>
      </x:c>
      <x:c r="K152" s="2" t="n">
        <x:v>1</x:v>
      </x:c>
      <x:c r="L152" s="2" t="str">
        <x:v>교육용 가상자료</x:v>
      </x:c>
    </x:row>
    <x:row r="153" ht="27" customHeight="1">
      <x:c r="A153" s="2" t="str">
        <x:v>SIM-2025-0148</x:v>
      </x:c>
      <x:c r="B153" s="2" t="str">
        <x:v>2025-06-21</x:v>
      </x:c>
      <x:c r="C153" s="2" t="n">
        <x:v>6</x:v>
      </x:c>
      <x:c r="D153" s="2" t="str">
        <x:v>가상 업무교육팀</x:v>
      </x:c>
      <x:c r="E153" s="2" t="str">
        <x:v>기록정비지원</x:v>
      </x:c>
      <x:c r="F153" s="2" t="str">
        <x:v>일반경쟁</x:v>
      </x:c>
      <x:c r="G153" s="2" t="str">
        <x:v>기록정비지원 가상 과제 148</x:v>
      </x:c>
      <x:c r="H153" s="2" t="str">
        <x:v>가상업체04</x:v>
      </x:c>
      <x:c r="I153" s="5" t="n">
        <x:v>75000000</x:v>
      </x:c>
      <x:c r="J153" s="2" t="str">
        <x:v>완료</x:v>
      </x:c>
      <x:c r="K153" s="2" t="n">
        <x:v>3</x:v>
      </x:c>
      <x:c r="L153" s="2" t="str">
        <x:v>교육용 가상자료</x:v>
      </x:c>
    </x:row>
    <x:row r="154" ht="27" customHeight="1">
      <x:c r="A154" s="2" t="str">
        <x:v>SIM-2025-0149</x:v>
      </x:c>
      <x:c r="B154" s="2" t="str">
        <x:v>2025-06-12</x:v>
      </x:c>
      <x:c r="C154" s="2" t="n">
        <x:v>6</x:v>
      </x:c>
      <x:c r="D154" s="2" t="str">
        <x:v>가상 사업관리팀</x:v>
      </x:c>
      <x:c r="E154" s="2" t="str">
        <x:v>설비점검지원</x:v>
      </x:c>
      <x:c r="F154" s="2" t="str">
        <x:v>수의계약</x:v>
      </x:c>
      <x:c r="G154" s="2" t="str">
        <x:v>설비점검지원 가상 과제 149</x:v>
      </x:c>
      <x:c r="H154" s="2" t="str">
        <x:v>가상업체05</x:v>
      </x:c>
      <x:c r="I154" s="5" t="n">
        <x:v>40000000</x:v>
      </x:c>
      <x:c r="J154" s="2" t="str">
        <x:v>완료</x:v>
      </x:c>
      <x:c r="K154" s="2" t="n">
        <x:v>2</x:v>
      </x:c>
      <x:c r="L154" s="2" t="str">
        <x:v>교육용 가상자료</x:v>
      </x:c>
    </x:row>
    <x:row r="155" ht="27" customHeight="1">
      <x:c r="A155" s="2" t="str">
        <x:v>SIM-2025-0150</x:v>
      </x:c>
      <x:c r="B155" s="2" t="str">
        <x:v>2025-06-24</x:v>
      </x:c>
      <x:c r="C155" s="2" t="n">
        <x:v>6</x:v>
      </x:c>
      <x:c r="D155" s="2" t="str">
        <x:v>가상 자료정비팀</x:v>
      </x:c>
      <x:c r="E155" s="2" t="str">
        <x:v>안내자료제작</x:v>
      </x:c>
      <x:c r="F155" s="2" t="str">
        <x:v>일반경쟁</x:v>
      </x:c>
      <x:c r="G155" s="2" t="str">
        <x:v>안내자료제작 가상 과제 150</x:v>
      </x:c>
      <x:c r="H155" s="2" t="str">
        <x:v>가상업체06</x:v>
      </x:c>
      <x:c r="I155" s="5" t="n">
        <x:v>54000000</x:v>
      </x:c>
      <x:c r="J155" s="2" t="str">
        <x:v>완료</x:v>
      </x:c>
      <x:c r="K155" s="2" t="n">
        <x:v>2</x:v>
      </x:c>
      <x:c r="L155" s="2" t="str">
        <x:v>교육용 가상자료</x:v>
      </x:c>
    </x:row>
    <x:row r="156" ht="27" customHeight="1">
      <x:c r="A156" s="2" t="str">
        <x:v>SIM-2025-0151</x:v>
      </x:c>
      <x:c r="B156" s="2" t="str">
        <x:v>2025-07-26</x:v>
      </x:c>
      <x:c r="C156" s="2" t="n">
        <x:v>7</x:v>
      </x:c>
      <x:c r="D156" s="2" t="str">
        <x:v>가상 설비지원팀</x:v>
      </x:c>
      <x:c r="E156" s="2" t="str">
        <x:v>업무교육</x:v>
      </x:c>
      <x:c r="F156" s="2" t="str">
        <x:v>제한경쟁</x:v>
      </x:c>
      <x:c r="G156" s="2" t="str">
        <x:v>업무교육 가상 과제 151</x:v>
      </x:c>
      <x:c r="H156" s="2" t="str">
        <x:v>가상업체07</x:v>
      </x:c>
      <x:c r="I156" s="5" t="n">
        <x:v>52000000</x:v>
      </x:c>
      <x:c r="J156" s="2" t="str">
        <x:v>완료</x:v>
      </x:c>
      <x:c r="K156" s="2" t="n">
        <x:v>2</x:v>
      </x:c>
      <x:c r="L156" s="2" t="str">
        <x:v>교육용 가상자료</x:v>
      </x:c>
    </x:row>
    <x:row r="157" ht="27" customHeight="1">
      <x:c r="A157" s="2" t="str">
        <x:v>SIM-2025-0152</x:v>
      </x:c>
      <x:c r="B157" s="2" t="str">
        <x:v>2025-07-10</x:v>
      </x:c>
      <x:c r="C157" s="2" t="n">
        <x:v>7</x:v>
      </x:c>
      <x:c r="D157" s="2" t="str">
        <x:v>가상 고객안내팀</x:v>
      </x:c>
      <x:c r="E157" s="2" t="str">
        <x:v>기록정비지원</x:v>
      </x:c>
      <x:c r="F157" s="2" t="str">
        <x:v>일반경쟁</x:v>
      </x:c>
      <x:c r="G157" s="2" t="str">
        <x:v>기록정비지원 가상 과제 152</x:v>
      </x:c>
      <x:c r="H157" s="2" t="str">
        <x:v>가상업체08</x:v>
      </x:c>
      <x:c r="I157" s="5" t="n">
        <x:v>74000000</x:v>
      </x:c>
      <x:c r="J157" s="2" t="str">
        <x:v>완료</x:v>
      </x:c>
      <x:c r="K157" s="2" t="n">
        <x:v>2</x:v>
      </x:c>
      <x:c r="L157" s="2" t="str">
        <x:v>교육용 가상자료</x:v>
      </x:c>
    </x:row>
    <x:row r="158" ht="27" customHeight="1">
      <x:c r="A158" s="2" t="str">
        <x:v>SIM-2025-0153</x:v>
      </x:c>
      <x:c r="B158" s="2" t="str">
        <x:v>2025-07-11</x:v>
      </x:c>
      <x:c r="C158" s="2" t="n">
        <x:v>7</x:v>
      </x:c>
      <x:c r="D158" s="2" t="str">
        <x:v>가상 업무교육팀</x:v>
      </x:c>
      <x:c r="E158" s="2" t="str">
        <x:v>설비점검지원</x:v>
      </x:c>
      <x:c r="F158" s="2" t="str">
        <x:v>일반경쟁</x:v>
      </x:c>
      <x:c r="G158" s="2" t="str">
        <x:v>설비점검지원 가상 과제 153</x:v>
      </x:c>
      <x:c r="H158" s="2" t="str">
        <x:v>가상업체09</x:v>
      </x:c>
      <x:c r="I158" s="5" t="n">
        <x:v>45000000</x:v>
      </x:c>
      <x:c r="J158" s="2" t="str">
        <x:v>완료</x:v>
      </x:c>
      <x:c r="K158" s="2" t="n">
        <x:v>3</x:v>
      </x:c>
      <x:c r="L158" s="2" t="str">
        <x:v>교육용 가상자료</x:v>
      </x:c>
    </x:row>
    <x:row r="159" ht="27" customHeight="1">
      <x:c r="A159" s="2" t="str">
        <x:v>SIM-2025-0154</x:v>
      </x:c>
      <x:c r="B159" s="2" t="str">
        <x:v>2025-07-25</x:v>
      </x:c>
      <x:c r="C159" s="2" t="n">
        <x:v>7</x:v>
      </x:c>
      <x:c r="D159" s="2" t="str">
        <x:v>가상 사업관리팀</x:v>
      </x:c>
      <x:c r="E159" s="2" t="str">
        <x:v>안내자료제작</x:v>
      </x:c>
      <x:c r="F159" s="2" t="str">
        <x:v>일반경쟁</x:v>
      </x:c>
      <x:c r="G159" s="2" t="str">
        <x:v>안내자료제작 가상 과제 154</x:v>
      </x:c>
      <x:c r="H159" s="2" t="str">
        <x:v>가상업체10</x:v>
      </x:c>
      <x:c r="I159" s="5" t="n">
        <x:v>41000000</x:v>
      </x:c>
      <x:c r="J159" s="2" t="str">
        <x:v>완료</x:v>
      </x:c>
      <x:c r="K159" s="2" t="n">
        <x:v>2</x:v>
      </x:c>
      <x:c r="L159" s="2" t="str">
        <x:v>교육용 가상자료</x:v>
      </x:c>
    </x:row>
    <x:row r="160" ht="27" customHeight="1">
      <x:c r="A160" s="2" t="str">
        <x:v>SIM-2025-0155</x:v>
      </x:c>
      <x:c r="B160" s="2" t="str">
        <x:v>2025-07-16</x:v>
      </x:c>
      <x:c r="C160" s="2" t="n">
        <x:v>7</x:v>
      </x:c>
      <x:c r="D160" s="2" t="str">
        <x:v>가상 자료정비팀</x:v>
      </x:c>
      <x:c r="E160" s="2" t="str">
        <x:v>업무교육</x:v>
      </x:c>
      <x:c r="F160" s="2" t="str">
        <x:v>수의계약</x:v>
      </x:c>
      <x:c r="G160" s="2" t="str">
        <x:v>업무교육 가상 과제 155</x:v>
      </x:c>
      <x:c r="H160" s="2" t="str">
        <x:v>가상업체11</x:v>
      </x:c>
      <x:c r="I160" s="5" t="n">
        <x:v>52000000</x:v>
      </x:c>
      <x:c r="J160" s="2" t="str">
        <x:v>완료</x:v>
      </x:c>
      <x:c r="K160" s="2" t="n">
        <x:v>0</x:v>
      </x:c>
      <x:c r="L160" s="2" t="str">
        <x:v>교육용 가상자료</x:v>
      </x:c>
    </x:row>
    <x:row r="161" ht="27" customHeight="1">
      <x:c r="A161" s="2" t="str">
        <x:v>SIM-2025-0156</x:v>
      </x:c>
      <x:c r="B161" s="2" t="str">
        <x:v>2025-07-13</x:v>
      </x:c>
      <x:c r="C161" s="2" t="n">
        <x:v>7</x:v>
      </x:c>
      <x:c r="D161" s="2" t="str">
        <x:v>가상 설비지원팀</x:v>
      </x:c>
      <x:c r="E161" s="2" t="str">
        <x:v>기록정비지원</x:v>
      </x:c>
      <x:c r="F161" s="2" t="str">
        <x:v>일반경쟁</x:v>
      </x:c>
      <x:c r="G161" s="2" t="str">
        <x:v>기록정비지원 가상 과제 156</x:v>
      </x:c>
      <x:c r="H161" s="2" t="str">
        <x:v>가상업체12</x:v>
      </x:c>
      <x:c r="I161" s="5" t="n">
        <x:v>46000000</x:v>
      </x:c>
      <x:c r="J161" s="2" t="str">
        <x:v>완료</x:v>
      </x:c>
      <x:c r="K161" s="2" t="n">
        <x:v>2</x:v>
      </x:c>
      <x:c r="L161" s="2" t="str">
        <x:v>교육용 가상자료</x:v>
      </x:c>
    </x:row>
    <x:row r="162" ht="27" customHeight="1">
      <x:c r="A162" s="2" t="str">
        <x:v>SIM-2025-0157</x:v>
      </x:c>
      <x:c r="B162" s="2" t="str">
        <x:v>2025-07-10</x:v>
      </x:c>
      <x:c r="C162" s="2" t="n">
        <x:v>7</x:v>
      </x:c>
      <x:c r="D162" s="2" t="str">
        <x:v>가상 고객안내팀</x:v>
      </x:c>
      <x:c r="E162" s="2" t="str">
        <x:v>설비점검지원</x:v>
      </x:c>
      <x:c r="F162" s="2" t="str">
        <x:v>일반경쟁</x:v>
      </x:c>
      <x:c r="G162" s="2" t="str">
        <x:v>설비점검지원 가상 과제 157</x:v>
      </x:c>
      <x:c r="H162" s="2" t="str">
        <x:v>가상업체13</x:v>
      </x:c>
      <x:c r="I162" s="5" t="n">
        <x:v>51000000</x:v>
      </x:c>
      <x:c r="J162" s="2" t="str">
        <x:v>완료</x:v>
      </x:c>
      <x:c r="K162" s="2" t="n">
        <x:v>2</x:v>
      </x:c>
      <x:c r="L162" s="2" t="str">
        <x:v>교육용 가상자료</x:v>
      </x:c>
    </x:row>
    <x:row r="163" ht="27" customHeight="1">
      <x:c r="A163" s="2" t="str">
        <x:v>SIM-2025-0158</x:v>
      </x:c>
      <x:c r="B163" s="2" t="str">
        <x:v>2025-07-08</x:v>
      </x:c>
      <x:c r="C163" s="2" t="n">
        <x:v>7</x:v>
      </x:c>
      <x:c r="D163" s="2" t="str">
        <x:v>가상 업무교육팀</x:v>
      </x:c>
      <x:c r="E163" s="2" t="str">
        <x:v>안내자료제작</x:v>
      </x:c>
      <x:c r="F163" s="2" t="str">
        <x:v>일반경쟁</x:v>
      </x:c>
      <x:c r="G163" s="2" t="str">
        <x:v>안내자료제작 가상 과제 158</x:v>
      </x:c>
      <x:c r="H163" s="2" t="str">
        <x:v>가상업체14</x:v>
      </x:c>
      <x:c r="I163" s="5" t="n">
        <x:v>23000000</x:v>
      </x:c>
      <x:c r="J163" s="2" t="str">
        <x:v>완료</x:v>
      </x:c>
      <x:c r="K163" s="2" t="n">
        <x:v>3</x:v>
      </x:c>
      <x:c r="L163" s="2" t="str">
        <x:v>교육용 가상자료</x:v>
      </x:c>
    </x:row>
    <x:row r="164" ht="27" customHeight="1">
      <x:c r="A164" s="2" t="str">
        <x:v>SIM-2025-0159</x:v>
      </x:c>
      <x:c r="B164" s="2" t="str">
        <x:v>2025-07-26</x:v>
      </x:c>
      <x:c r="C164" s="2" t="n">
        <x:v>7</x:v>
      </x:c>
      <x:c r="D164" s="2" t="str">
        <x:v>가상 사업관리팀</x:v>
      </x:c>
      <x:c r="E164" s="2" t="str">
        <x:v>업무교육</x:v>
      </x:c>
      <x:c r="F164" s="2" t="str">
        <x:v>제한경쟁</x:v>
      </x:c>
      <x:c r="G164" s="2" t="str">
        <x:v>업무교육 가상 과제 159</x:v>
      </x:c>
      <x:c r="H164" s="2" t="str">
        <x:v>가상업체15</x:v>
      </x:c>
      <x:c r="I164" s="5" t="n">
        <x:v>46000000</x:v>
      </x:c>
      <x:c r="J164" s="2" t="str">
        <x:v>완료</x:v>
      </x:c>
      <x:c r="K164" s="2" t="n">
        <x:v>3</x:v>
      </x:c>
      <x:c r="L164" s="2" t="str">
        <x:v>교육용 가상자료</x:v>
      </x:c>
    </x:row>
    <x:row r="165" ht="27" customHeight="1">
      <x:c r="A165" s="2" t="str">
        <x:v>SIM-2025-0160</x:v>
      </x:c>
      <x:c r="B165" s="2" t="str">
        <x:v>2025-07-14</x:v>
      </x:c>
      <x:c r="C165" s="2" t="n">
        <x:v>7</x:v>
      </x:c>
      <x:c r="D165" s="2" t="str">
        <x:v>가상 자료정비팀</x:v>
      </x:c>
      <x:c r="E165" s="2" t="str">
        <x:v>기록정비지원</x:v>
      </x:c>
      <x:c r="F165" s="2" t="str">
        <x:v>일반경쟁</x:v>
      </x:c>
      <x:c r="G165" s="2" t="str">
        <x:v>기록정비지원 가상 과제 160</x:v>
      </x:c>
      <x:c r="H165" s="2" t="str">
        <x:v>가상업체16</x:v>
      </x:c>
      <x:c r="I165" s="5" t="n">
        <x:v>33000000</x:v>
      </x:c>
      <x:c r="J165" s="2" t="str">
        <x:v>완료</x:v>
      </x:c>
      <x:c r="K165" s="2" t="n">
        <x:v>0</x:v>
      </x:c>
      <x:c r="L165" s="2" t="str">
        <x:v>교육용 가상자료</x:v>
      </x:c>
    </x:row>
    <x:row r="166" ht="27" customHeight="1">
      <x:c r="A166" s="2" t="str">
        <x:v>SIM-2025-0161</x:v>
      </x:c>
      <x:c r="B166" s="2" t="str">
        <x:v>2025-07-06</x:v>
      </x:c>
      <x:c r="C166" s="2" t="n">
        <x:v>7</x:v>
      </x:c>
      <x:c r="D166" s="2" t="str">
        <x:v>가상 설비지원팀</x:v>
      </x:c>
      <x:c r="E166" s="2" t="str">
        <x:v>설비점검지원</x:v>
      </x:c>
      <x:c r="F166" s="2" t="str">
        <x:v>제한경쟁</x:v>
      </x:c>
      <x:c r="G166" s="2" t="str">
        <x:v>설비점검지원 가상 과제 161</x:v>
      </x:c>
      <x:c r="H166" s="2" t="str">
        <x:v>가상업체17</x:v>
      </x:c>
      <x:c r="I166" s="5" t="n">
        <x:v>19000000</x:v>
      </x:c>
      <x:c r="J166" s="2" t="str">
        <x:v>완료</x:v>
      </x:c>
      <x:c r="K166" s="2" t="n">
        <x:v>1</x:v>
      </x:c>
      <x:c r="L166" s="2" t="str">
        <x:v>교육용 가상자료</x:v>
      </x:c>
    </x:row>
    <x:row r="167" ht="27" customHeight="1">
      <x:c r="A167" s="2" t="str">
        <x:v>SIM-2025-0162</x:v>
      </x:c>
      <x:c r="B167" s="2" t="str">
        <x:v>2025-07-21</x:v>
      </x:c>
      <x:c r="C167" s="2" t="n">
        <x:v>7</x:v>
      </x:c>
      <x:c r="D167" s="2" t="str">
        <x:v>가상 고객안내팀</x:v>
      </x:c>
      <x:c r="E167" s="2" t="str">
        <x:v>안내자료제작</x:v>
      </x:c>
      <x:c r="F167" s="2" t="str">
        <x:v>수의계약</x:v>
      </x:c>
      <x:c r="G167" s="2" t="str">
        <x:v>안내자료제작 가상 과제 162</x:v>
      </x:c>
      <x:c r="H167" s="2" t="str">
        <x:v>가상업체18</x:v>
      </x:c>
      <x:c r="I167" s="5" t="n">
        <x:v>45000000</x:v>
      </x:c>
      <x:c r="J167" s="2" t="str">
        <x:v>완료</x:v>
      </x:c>
      <x:c r="K167" s="2" t="n">
        <x:v>3</x:v>
      </x:c>
      <x:c r="L167" s="2" t="str">
        <x:v>교육용 가상자료</x:v>
      </x:c>
    </x:row>
    <x:row r="168" ht="27" customHeight="1">
      <x:c r="A168" s="2" t="str">
        <x:v>SIM-2025-0163</x:v>
      </x:c>
      <x:c r="B168" s="2" t="str">
        <x:v>2025-07-22</x:v>
      </x:c>
      <x:c r="C168" s="2" t="n">
        <x:v>7</x:v>
      </x:c>
      <x:c r="D168" s="2" t="str">
        <x:v>가상 업무교육팀</x:v>
      </x:c>
      <x:c r="E168" s="2" t="str">
        <x:v>업무교육</x:v>
      </x:c>
      <x:c r="F168" s="2" t="str">
        <x:v>일반경쟁</x:v>
      </x:c>
      <x:c r="G168" s="2" t="str">
        <x:v>업무교육 가상 과제 163</x:v>
      </x:c>
      <x:c r="H168" s="2" t="str">
        <x:v>가상업체19</x:v>
      </x:c>
      <x:c r="I168" s="5" t="n">
        <x:v>42000000</x:v>
      </x:c>
      <x:c r="J168" s="2" t="str">
        <x:v>완료</x:v>
      </x:c>
      <x:c r="K168" s="2" t="n">
        <x:v>1</x:v>
      </x:c>
      <x:c r="L168" s="2" t="str">
        <x:v>교육용 가상자료</x:v>
      </x:c>
    </x:row>
    <x:row r="169" ht="27" customHeight="1">
      <x:c r="A169" s="2" t="str">
        <x:v>SIM-2025-0164</x:v>
      </x:c>
      <x:c r="B169" s="2" t="str">
        <x:v>2025-07-11</x:v>
      </x:c>
      <x:c r="C169" s="2" t="n">
        <x:v>7</x:v>
      </x:c>
      <x:c r="D169" s="2" t="str">
        <x:v>가상 사업관리팀</x:v>
      </x:c>
      <x:c r="E169" s="2" t="str">
        <x:v>기록정비지원</x:v>
      </x:c>
      <x:c r="F169" s="2" t="str">
        <x:v>일반경쟁</x:v>
      </x:c>
      <x:c r="G169" s="2" t="str">
        <x:v>기록정비지원 가상 과제 164</x:v>
      </x:c>
      <x:c r="H169" s="2" t="str">
        <x:v>가상업체20</x:v>
      </x:c>
      <x:c r="I169" s="5" t="n">
        <x:v>11000000</x:v>
      </x:c>
      <x:c r="J169" s="2" t="str">
        <x:v>완료</x:v>
      </x:c>
      <x:c r="K169" s="2" t="n">
        <x:v>2</x:v>
      </x:c>
      <x:c r="L169" s="2" t="str">
        <x:v>교육용 가상자료</x:v>
      </x:c>
    </x:row>
    <x:row r="170" ht="27" customHeight="1">
      <x:c r="A170" s="2" t="str">
        <x:v>SIM-2025-0165</x:v>
      </x:c>
      <x:c r="B170" s="2" t="str">
        <x:v>2025-07-18</x:v>
      </x:c>
      <x:c r="C170" s="2" t="n">
        <x:v>7</x:v>
      </x:c>
      <x:c r="D170" s="2" t="str">
        <x:v>가상 자료정비팀</x:v>
      </x:c>
      <x:c r="E170" s="2" t="str">
        <x:v>설비점검지원</x:v>
      </x:c>
      <x:c r="F170" s="2" t="str">
        <x:v>수의계약</x:v>
      </x:c>
      <x:c r="G170" s="2" t="str">
        <x:v>설비점검지원 가상 과제 165</x:v>
      </x:c>
      <x:c r="H170" s="2" t="str">
        <x:v>가상업체21</x:v>
      </x:c>
      <x:c r="I170" s="5" t="n">
        <x:v>61000000</x:v>
      </x:c>
      <x:c r="J170" s="2" t="str">
        <x:v>완료</x:v>
      </x:c>
      <x:c r="K170" s="2" t="n">
        <x:v>0</x:v>
      </x:c>
      <x:c r="L170" s="2" t="str">
        <x:v>교육용 가상자료</x:v>
      </x:c>
    </x:row>
    <x:row r="171" ht="27" customHeight="1">
      <x:c r="A171" s="2" t="str">
        <x:v>SIM-2025-0166</x:v>
      </x:c>
      <x:c r="B171" s="2" t="str">
        <x:v>2025-07-22</x:v>
      </x:c>
      <x:c r="C171" s="2" t="n">
        <x:v>7</x:v>
      </x:c>
      <x:c r="D171" s="2" t="str">
        <x:v>가상 설비지원팀</x:v>
      </x:c>
      <x:c r="E171" s="2" t="str">
        <x:v>안내자료제작</x:v>
      </x:c>
      <x:c r="F171" s="2" t="str">
        <x:v>수의계약</x:v>
      </x:c>
      <x:c r="G171" s="2" t="str">
        <x:v>안내자료제작 가상 과제 166</x:v>
      </x:c>
      <x:c r="H171" s="2" t="str">
        <x:v>가상업체22</x:v>
      </x:c>
      <x:c r="I171" s="5" t="n">
        <x:v>73000000</x:v>
      </x:c>
      <x:c r="J171" s="2" t="str">
        <x:v>완료</x:v>
      </x:c>
      <x:c r="K171" s="2" t="n">
        <x:v>0</x:v>
      </x:c>
      <x:c r="L171" s="2" t="str">
        <x:v>교육용 가상자료</x:v>
      </x:c>
    </x:row>
    <x:row r="172" ht="27" customHeight="1">
      <x:c r="A172" s="2" t="str">
        <x:v>SIM-2025-0167</x:v>
      </x:c>
      <x:c r="B172" s="2" t="str">
        <x:v>2025-07-20</x:v>
      </x:c>
      <x:c r="C172" s="2" t="n">
        <x:v>7</x:v>
      </x:c>
      <x:c r="D172" s="2" t="str">
        <x:v>가상 고객안내팀</x:v>
      </x:c>
      <x:c r="E172" s="2" t="str">
        <x:v>업무교육</x:v>
      </x:c>
      <x:c r="F172" s="2" t="str">
        <x:v>제한경쟁</x:v>
      </x:c>
      <x:c r="G172" s="2" t="str">
        <x:v>업무교육 가상 과제 167</x:v>
      </x:c>
      <x:c r="H172" s="2" t="str">
        <x:v>가상업체23</x:v>
      </x:c>
      <x:c r="I172" s="5" t="n">
        <x:v>62000000</x:v>
      </x:c>
      <x:c r="J172" s="2" t="str">
        <x:v>완료</x:v>
      </x:c>
      <x:c r="K172" s="2" t="n">
        <x:v>2</x:v>
      </x:c>
      <x:c r="L172" s="2" t="str">
        <x:v>교육용 가상자료</x:v>
      </x:c>
    </x:row>
    <x:row r="173" ht="27" customHeight="1">
      <x:c r="A173" s="2" t="str">
        <x:v>SIM-2025-0168</x:v>
      </x:c>
      <x:c r="B173" s="2" t="str">
        <x:v>2025-07-12</x:v>
      </x:c>
      <x:c r="C173" s="2" t="n">
        <x:v>7</x:v>
      </x:c>
      <x:c r="D173" s="2" t="str">
        <x:v>가상 업무교육팀</x:v>
      </x:c>
      <x:c r="E173" s="2" t="str">
        <x:v>기록정비지원</x:v>
      </x:c>
      <x:c r="F173" s="2" t="str">
        <x:v>제한경쟁</x:v>
      </x:c>
      <x:c r="G173" s="2" t="str">
        <x:v>기록정비지원 가상 과제 168</x:v>
      </x:c>
      <x:c r="H173" s="2" t="str">
        <x:v>가상업체24</x:v>
      </x:c>
      <x:c r="I173" s="5" t="n">
        <x:v>14000000</x:v>
      </x:c>
      <x:c r="J173" s="2" t="str">
        <x:v>완료</x:v>
      </x:c>
      <x:c r="K173" s="2" t="n">
        <x:v>0</x:v>
      </x:c>
      <x:c r="L173" s="2" t="str">
        <x:v>교육용 가상자료</x:v>
      </x:c>
    </x:row>
    <x:row r="174" ht="27" customHeight="1">
      <x:c r="A174" s="2" t="str">
        <x:v>SIM-2025-0169</x:v>
      </x:c>
      <x:c r="B174" s="2" t="str">
        <x:v>2025-07-03</x:v>
      </x:c>
      <x:c r="C174" s="2" t="n">
        <x:v>7</x:v>
      </x:c>
      <x:c r="D174" s="2" t="str">
        <x:v>가상 사업관리팀</x:v>
      </x:c>
      <x:c r="E174" s="2" t="str">
        <x:v>설비점검지원</x:v>
      </x:c>
      <x:c r="F174" s="2" t="str">
        <x:v>제한경쟁</x:v>
      </x:c>
      <x:c r="G174" s="2" t="str">
        <x:v>설비점검지원 가상 과제 169</x:v>
      </x:c>
      <x:c r="H174" s="2" t="str">
        <x:v>가상업체01</x:v>
      </x:c>
      <x:c r="I174" s="5" t="n">
        <x:v>59000000</x:v>
      </x:c>
      <x:c r="J174" s="2" t="str">
        <x:v>완료</x:v>
      </x:c>
      <x:c r="K174" s="2" t="n">
        <x:v>0</x:v>
      </x:c>
      <x:c r="L174" s="2" t="str">
        <x:v>교육용 가상자료</x:v>
      </x:c>
    </x:row>
    <x:row r="175" ht="27" customHeight="1">
      <x:c r="A175" s="2" t="str">
        <x:v>SIM-2025-0170</x:v>
      </x:c>
      <x:c r="B175" s="2" t="str">
        <x:v>2025-07-16</x:v>
      </x:c>
      <x:c r="C175" s="2" t="n">
        <x:v>7</x:v>
      </x:c>
      <x:c r="D175" s="2" t="str">
        <x:v>가상 자료정비팀</x:v>
      </x:c>
      <x:c r="E175" s="2" t="str">
        <x:v>안내자료제작</x:v>
      </x:c>
      <x:c r="F175" s="2" t="str">
        <x:v>수의계약</x:v>
      </x:c>
      <x:c r="G175" s="2" t="str">
        <x:v>안내자료제작 가상 과제 170</x:v>
      </x:c>
      <x:c r="H175" s="2" t="str">
        <x:v>가상업체02</x:v>
      </x:c>
      <x:c r="I175" s="5" t="n">
        <x:v>34000000</x:v>
      </x:c>
      <x:c r="J175" s="2" t="str">
        <x:v>완료</x:v>
      </x:c>
      <x:c r="K175" s="2" t="n">
        <x:v>0</x:v>
      </x:c>
      <x:c r="L175" s="2" t="str">
        <x:v>교육용 가상자료</x:v>
      </x:c>
    </x:row>
    <x:row r="176" ht="27" customHeight="1">
      <x:c r="A176" s="2" t="str">
        <x:v>SIM-2025-0171</x:v>
      </x:c>
      <x:c r="B176" s="2" t="str">
        <x:v>2025-07-09</x:v>
      </x:c>
      <x:c r="C176" s="2" t="n">
        <x:v>7</x:v>
      </x:c>
      <x:c r="D176" s="2" t="str">
        <x:v>가상 설비지원팀</x:v>
      </x:c>
      <x:c r="E176" s="2" t="str">
        <x:v>업무교육</x:v>
      </x:c>
      <x:c r="F176" s="2" t="str">
        <x:v>제한경쟁</x:v>
      </x:c>
      <x:c r="G176" s="2" t="str">
        <x:v>업무교육 가상 과제 171</x:v>
      </x:c>
      <x:c r="H176" s="2" t="str">
        <x:v>가상업체03</x:v>
      </x:c>
      <x:c r="I176" s="5" t="n">
        <x:v>68000000</x:v>
      </x:c>
      <x:c r="J176" s="2" t="str">
        <x:v>완료</x:v>
      </x:c>
      <x:c r="K176" s="2" t="n">
        <x:v>2</x:v>
      </x:c>
      <x:c r="L176" s="2" t="str">
        <x:v>교육용 가상자료</x:v>
      </x:c>
    </x:row>
    <x:row r="177" ht="27" customHeight="1">
      <x:c r="A177" s="2" t="str">
        <x:v>SIM-2025-0172</x:v>
      </x:c>
      <x:c r="B177" s="2" t="str">
        <x:v>2025-07-03</x:v>
      </x:c>
      <x:c r="C177" s="2" t="n">
        <x:v>7</x:v>
      </x:c>
      <x:c r="D177" s="2" t="str">
        <x:v>가상 고객안내팀</x:v>
      </x:c>
      <x:c r="E177" s="2" t="str">
        <x:v>기록정비지원</x:v>
      </x:c>
      <x:c r="F177" s="2" t="str">
        <x:v>제한경쟁</x:v>
      </x:c>
      <x:c r="G177" s="2" t="str">
        <x:v>기록정비지원 가상 과제 172</x:v>
      </x:c>
      <x:c r="H177" s="2" t="str">
        <x:v>가상업체04</x:v>
      </x:c>
      <x:c r="I177" s="5" t="n">
        <x:v>31000000</x:v>
      </x:c>
      <x:c r="J177" s="2" t="str">
        <x:v>완료</x:v>
      </x:c>
      <x:c r="K177" s="2" t="n">
        <x:v>0</x:v>
      </x:c>
      <x:c r="L177" s="2" t="str">
        <x:v>교육용 가상자료</x:v>
      </x:c>
    </x:row>
    <x:row r="178" ht="27" customHeight="1">
      <x:c r="A178" s="2" t="str">
        <x:v>SIM-2025-0173</x:v>
      </x:c>
      <x:c r="B178" s="2" t="str">
        <x:v>2025-07-04</x:v>
      </x:c>
      <x:c r="C178" s="2" t="n">
        <x:v>7</x:v>
      </x:c>
      <x:c r="D178" s="2" t="str">
        <x:v>가상 업무교육팀</x:v>
      </x:c>
      <x:c r="E178" s="2" t="str">
        <x:v>설비점검지원</x:v>
      </x:c>
      <x:c r="F178" s="2" t="str">
        <x:v>제한경쟁</x:v>
      </x:c>
      <x:c r="G178" s="2" t="str">
        <x:v>설비점검지원 가상 과제 173</x:v>
      </x:c>
      <x:c r="H178" s="2" t="str">
        <x:v>가상업체05</x:v>
      </x:c>
      <x:c r="I178" s="5" t="n">
        <x:v>17000000</x:v>
      </x:c>
      <x:c r="J178" s="2" t="str">
        <x:v>완료</x:v>
      </x:c>
      <x:c r="K178" s="2" t="n">
        <x:v>0</x:v>
      </x:c>
      <x:c r="L178" s="2" t="str">
        <x:v>교육용 가상자료</x:v>
      </x:c>
    </x:row>
    <x:row r="179" ht="27" customHeight="1">
      <x:c r="A179" s="2" t="str">
        <x:v>SIM-2025-0174</x:v>
      </x:c>
      <x:c r="B179" s="2" t="str">
        <x:v>2025-07-15</x:v>
      </x:c>
      <x:c r="C179" s="2" t="n">
        <x:v>7</x:v>
      </x:c>
      <x:c r="D179" s="2" t="str">
        <x:v>가상 사업관리팀</x:v>
      </x:c>
      <x:c r="E179" s="2" t="str">
        <x:v>안내자료제작</x:v>
      </x:c>
      <x:c r="F179" s="2" t="str">
        <x:v>수의계약</x:v>
      </x:c>
      <x:c r="G179" s="2" t="str">
        <x:v>안내자료제작 가상 과제 174</x:v>
      </x:c>
      <x:c r="H179" s="2" t="str">
        <x:v>가상업체06</x:v>
      </x:c>
      <x:c r="I179" s="5" t="n">
        <x:v>64000000</x:v>
      </x:c>
      <x:c r="J179" s="2" t="str">
        <x:v>완료</x:v>
      </x:c>
      <x:c r="K179" s="2" t="n">
        <x:v>3</x:v>
      </x:c>
      <x:c r="L179" s="2" t="str">
        <x:v>교육용 가상자료</x:v>
      </x:c>
    </x:row>
    <x:row r="180" ht="27" customHeight="1">
      <x:c r="A180" s="2" t="str">
        <x:v>SIM-2025-0175</x:v>
      </x:c>
      <x:c r="B180" s="2" t="str">
        <x:v>2025-07-11</x:v>
      </x:c>
      <x:c r="C180" s="2" t="n">
        <x:v>7</x:v>
      </x:c>
      <x:c r="D180" s="2" t="str">
        <x:v>가상 자료정비팀</x:v>
      </x:c>
      <x:c r="E180" s="2" t="str">
        <x:v>업무교육</x:v>
      </x:c>
      <x:c r="F180" s="2" t="str">
        <x:v>제한경쟁</x:v>
      </x:c>
      <x:c r="G180" s="2" t="str">
        <x:v>업무교육 가상 과제 175</x:v>
      </x:c>
      <x:c r="H180" s="2" t="str">
        <x:v>가상업체07</x:v>
      </x:c>
      <x:c r="I180" s="5" t="n">
        <x:v>50000000</x:v>
      </x:c>
      <x:c r="J180" s="2" t="str">
        <x:v>완료</x:v>
      </x:c>
      <x:c r="K180" s="2" t="n">
        <x:v>0</x:v>
      </x:c>
      <x:c r="L180" s="2" t="str">
        <x:v>교육용 가상자료</x:v>
      </x:c>
    </x:row>
    <x:row r="181" ht="27" customHeight="1">
      <x:c r="A181" s="2" t="str">
        <x:v>SIM-2025-0176</x:v>
      </x:c>
      <x:c r="B181" s="2" t="str">
        <x:v>2025-08-08</x:v>
      </x:c>
      <x:c r="C181" s="2" t="n">
        <x:v>8</x:v>
      </x:c>
      <x:c r="D181" s="2" t="str">
        <x:v>가상 설비지원팀</x:v>
      </x:c>
      <x:c r="E181" s="2" t="str">
        <x:v>기록정비지원</x:v>
      </x:c>
      <x:c r="F181" s="2" t="str">
        <x:v>일반경쟁</x:v>
      </x:c>
      <x:c r="G181" s="2" t="str">
        <x:v>기록정비지원 가상 과제 176</x:v>
      </x:c>
      <x:c r="H181" s="2" t="str">
        <x:v>가상업체08</x:v>
      </x:c>
      <x:c r="I181" s="5" t="n">
        <x:v>9000000</x:v>
      </x:c>
      <x:c r="J181" s="2" t="str">
        <x:v>완료</x:v>
      </x:c>
      <x:c r="K181" s="2" t="n">
        <x:v>1</x:v>
      </x:c>
      <x:c r="L181" s="2" t="str">
        <x:v>교육용 가상자료</x:v>
      </x:c>
    </x:row>
    <x:row r="182" ht="27" customHeight="1">
      <x:c r="A182" s="2" t="str">
        <x:v>SIM-2025-0177</x:v>
      </x:c>
      <x:c r="B182" s="2" t="str">
        <x:v>2025-08-13</x:v>
      </x:c>
      <x:c r="C182" s="2" t="n">
        <x:v>8</x:v>
      </x:c>
      <x:c r="D182" s="2" t="str">
        <x:v>가상 고객안내팀</x:v>
      </x:c>
      <x:c r="E182" s="2" t="str">
        <x:v>설비점검지원</x:v>
      </x:c>
      <x:c r="F182" s="2" t="str">
        <x:v>제한경쟁</x:v>
      </x:c>
      <x:c r="G182" s="2" t="str">
        <x:v>설비점검지원 가상 과제 177</x:v>
      </x:c>
      <x:c r="H182" s="2" t="str">
        <x:v>가상업체09</x:v>
      </x:c>
      <x:c r="I182" s="5" t="n">
        <x:v>11000000</x:v>
      </x:c>
      <x:c r="J182" s="2" t="str">
        <x:v>완료</x:v>
      </x:c>
      <x:c r="K182" s="2" t="n">
        <x:v>0</x:v>
      </x:c>
      <x:c r="L182" s="2" t="str">
        <x:v>교육용 가상자료</x:v>
      </x:c>
    </x:row>
    <x:row r="183" ht="27" customHeight="1">
      <x:c r="A183" s="2" t="str">
        <x:v>SIM-2025-0178</x:v>
      </x:c>
      <x:c r="B183" s="2" t="str">
        <x:v>2025-08-22</x:v>
      </x:c>
      <x:c r="C183" s="2" t="n">
        <x:v>8</x:v>
      </x:c>
      <x:c r="D183" s="2" t="str">
        <x:v>가상 업무교육팀</x:v>
      </x:c>
      <x:c r="E183" s="2" t="str">
        <x:v>안내자료제작</x:v>
      </x:c>
      <x:c r="F183" s="2" t="str">
        <x:v>수의계약</x:v>
      </x:c>
      <x:c r="G183" s="2" t="str">
        <x:v>안내자료제작 가상 과제 178</x:v>
      </x:c>
      <x:c r="H183" s="2" t="str">
        <x:v>가상업체10</x:v>
      </x:c>
      <x:c r="I183" s="5" t="n">
        <x:v>19000000</x:v>
      </x:c>
      <x:c r="J183" s="2" t="str">
        <x:v>완료</x:v>
      </x:c>
      <x:c r="K183" s="2" t="n">
        <x:v>1</x:v>
      </x:c>
      <x:c r="L183" s="2" t="str">
        <x:v>교육용 가상자료</x:v>
      </x:c>
    </x:row>
    <x:row r="184" ht="27" customHeight="1">
      <x:c r="A184" s="2" t="str">
        <x:v>SIM-2025-0179</x:v>
      </x:c>
      <x:c r="B184" s="2" t="str">
        <x:v>2025-08-15</x:v>
      </x:c>
      <x:c r="C184" s="2" t="n">
        <x:v>8</x:v>
      </x:c>
      <x:c r="D184" s="2" t="str">
        <x:v>가상 사업관리팀</x:v>
      </x:c>
      <x:c r="E184" s="2" t="str">
        <x:v>업무교육</x:v>
      </x:c>
      <x:c r="F184" s="2" t="str">
        <x:v>제한경쟁</x:v>
      </x:c>
      <x:c r="G184" s="2" t="str">
        <x:v>업무교육 가상 과제 179</x:v>
      </x:c>
      <x:c r="H184" s="2" t="str">
        <x:v>가상업체11</x:v>
      </x:c>
      <x:c r="I184" s="5" t="n">
        <x:v>59000000</x:v>
      </x:c>
      <x:c r="J184" s="2" t="str">
        <x:v>완료</x:v>
      </x:c>
      <x:c r="K184" s="2" t="n">
        <x:v>2</x:v>
      </x:c>
      <x:c r="L184" s="2" t="str">
        <x:v>교육용 가상자료</x:v>
      </x:c>
    </x:row>
    <x:row r="185" ht="27" customHeight="1">
      <x:c r="A185" s="2" t="str">
        <x:v>SIM-2025-0180</x:v>
      </x:c>
      <x:c r="B185" s="2" t="str">
        <x:v>2025-08-23</x:v>
      </x:c>
      <x:c r="C185" s="2" t="n">
        <x:v>8</x:v>
      </x:c>
      <x:c r="D185" s="2" t="str">
        <x:v>가상 자료정비팀</x:v>
      </x:c>
      <x:c r="E185" s="2" t="str">
        <x:v>기록정비지원</x:v>
      </x:c>
      <x:c r="F185" s="2" t="str">
        <x:v>일반경쟁</x:v>
      </x:c>
      <x:c r="G185" s="2" t="str">
        <x:v>기록정비지원 가상 과제 180</x:v>
      </x:c>
      <x:c r="H185" s="2" t="str">
        <x:v>가상업체12</x:v>
      </x:c>
      <x:c r="I185" s="5" t="n">
        <x:v>13000000</x:v>
      </x:c>
      <x:c r="J185" s="2" t="str">
        <x:v>완료</x:v>
      </x:c>
      <x:c r="K185" s="2" t="n">
        <x:v>2</x:v>
      </x:c>
      <x:c r="L185" s="2" t="str">
        <x:v>교육용 가상자료</x:v>
      </x:c>
    </x:row>
    <x:row r="186" ht="27" customHeight="1">
      <x:c r="A186" s="2" t="str">
        <x:v>SIM-2025-0181</x:v>
      </x:c>
      <x:c r="B186" s="2" t="str">
        <x:v>2025-08-25</x:v>
      </x:c>
      <x:c r="C186" s="2" t="n">
        <x:v>8</x:v>
      </x:c>
      <x:c r="D186" s="2" t="str">
        <x:v>가상 설비지원팀</x:v>
      </x:c>
      <x:c r="E186" s="2" t="str">
        <x:v>설비점검지원</x:v>
      </x:c>
      <x:c r="F186" s="2" t="str">
        <x:v>수의계약</x:v>
      </x:c>
      <x:c r="G186" s="2" t="str">
        <x:v>설비점검지원 가상 과제 181</x:v>
      </x:c>
      <x:c r="H186" s="2" t="str">
        <x:v>가상업체13</x:v>
      </x:c>
      <x:c r="I186" s="5" t="n">
        <x:v>53000000</x:v>
      </x:c>
      <x:c r="J186" s="2" t="str">
        <x:v>완료</x:v>
      </x:c>
      <x:c r="K186" s="2" t="n">
        <x:v>1</x:v>
      </x:c>
      <x:c r="L186" s="2" t="str">
        <x:v>교육용 가상자료</x:v>
      </x:c>
    </x:row>
    <x:row r="187" ht="27" customHeight="1">
      <x:c r="A187" s="2" t="str">
        <x:v>SIM-2025-0182</x:v>
      </x:c>
      <x:c r="B187" s="2" t="str">
        <x:v>2025-08-12</x:v>
      </x:c>
      <x:c r="C187" s="2" t="n">
        <x:v>8</x:v>
      </x:c>
      <x:c r="D187" s="2" t="str">
        <x:v>가상 고객안내팀</x:v>
      </x:c>
      <x:c r="E187" s="2" t="str">
        <x:v>안내자료제작</x:v>
      </x:c>
      <x:c r="F187" s="2" t="str">
        <x:v>제한경쟁</x:v>
      </x:c>
      <x:c r="G187" s="2" t="str">
        <x:v>안내자료제작 가상 과제 182</x:v>
      </x:c>
      <x:c r="H187" s="2" t="str">
        <x:v>가상업체14</x:v>
      </x:c>
      <x:c r="I187" s="5" t="n">
        <x:v>38000000</x:v>
      </x:c>
      <x:c r="J187" s="2" t="str">
        <x:v>완료</x:v>
      </x:c>
      <x:c r="K187" s="2" t="n">
        <x:v>0</x:v>
      </x:c>
      <x:c r="L187" s="2" t="str">
        <x:v>교육용 가상자료</x:v>
      </x:c>
    </x:row>
    <x:row r="188" ht="27" customHeight="1">
      <x:c r="A188" s="2" t="str">
        <x:v>SIM-2025-0183</x:v>
      </x:c>
      <x:c r="B188" s="2" t="str">
        <x:v>2025-08-13</x:v>
      </x:c>
      <x:c r="C188" s="2" t="n">
        <x:v>8</x:v>
      </x:c>
      <x:c r="D188" s="2" t="str">
        <x:v>가상 업무교육팀</x:v>
      </x:c>
      <x:c r="E188" s="2" t="str">
        <x:v>업무교육</x:v>
      </x:c>
      <x:c r="F188" s="2" t="str">
        <x:v>수의계약</x:v>
      </x:c>
      <x:c r="G188" s="2" t="str">
        <x:v>업무교육 가상 과제 183</x:v>
      </x:c>
      <x:c r="H188" s="2" t="str">
        <x:v>가상업체15</x:v>
      </x:c>
      <x:c r="I188" s="5" t="n">
        <x:v>13000000</x:v>
      </x:c>
      <x:c r="J188" s="2" t="str">
        <x:v>완료</x:v>
      </x:c>
      <x:c r="K188" s="2" t="n">
        <x:v>2</x:v>
      </x:c>
      <x:c r="L188" s="2" t="str">
        <x:v>교육용 가상자료</x:v>
      </x:c>
    </x:row>
    <x:row r="189" ht="27" customHeight="1">
      <x:c r="A189" s="2" t="str">
        <x:v>SIM-2025-0184</x:v>
      </x:c>
      <x:c r="B189" s="2" t="str">
        <x:v>2025-08-19</x:v>
      </x:c>
      <x:c r="C189" s="2" t="n">
        <x:v>8</x:v>
      </x:c>
      <x:c r="D189" s="2" t="str">
        <x:v>가상 사업관리팀</x:v>
      </x:c>
      <x:c r="E189" s="2" t="str">
        <x:v>기록정비지원</x:v>
      </x:c>
      <x:c r="F189" s="2" t="str">
        <x:v>일반경쟁</x:v>
      </x:c>
      <x:c r="G189" s="2" t="str">
        <x:v>기록정비지원 가상 과제 184</x:v>
      </x:c>
      <x:c r="H189" s="2" t="str">
        <x:v>가상업체16</x:v>
      </x:c>
      <x:c r="I189" s="5" t="n">
        <x:v>36000000</x:v>
      </x:c>
      <x:c r="J189" s="2" t="str">
        <x:v>완료</x:v>
      </x:c>
      <x:c r="K189" s="2" t="n">
        <x:v>0</x:v>
      </x:c>
      <x:c r="L189" s="2" t="str">
        <x:v>교육용 가상자료</x:v>
      </x:c>
    </x:row>
    <x:row r="190" ht="27" customHeight="1">
      <x:c r="A190" s="2" t="str">
        <x:v>SIM-2025-0185</x:v>
      </x:c>
      <x:c r="B190" s="2" t="str">
        <x:v>2025-08-03</x:v>
      </x:c>
      <x:c r="C190" s="2" t="n">
        <x:v>8</x:v>
      </x:c>
      <x:c r="D190" s="2" t="str">
        <x:v>가상 자료정비팀</x:v>
      </x:c>
      <x:c r="E190" s="2" t="str">
        <x:v>설비점검지원</x:v>
      </x:c>
      <x:c r="F190" s="2" t="str">
        <x:v>제한경쟁</x:v>
      </x:c>
      <x:c r="G190" s="2" t="str">
        <x:v>설비점검지원 가상 과제 185</x:v>
      </x:c>
      <x:c r="H190" s="2" t="str">
        <x:v>가상업체17</x:v>
      </x:c>
      <x:c r="I190" s="5" t="n">
        <x:v>53000000</x:v>
      </x:c>
      <x:c r="J190" s="2" t="str">
        <x:v>완료</x:v>
      </x:c>
      <x:c r="K190" s="2" t="n">
        <x:v>1</x:v>
      </x:c>
      <x:c r="L190" s="2" t="str">
        <x:v>교육용 가상자료</x:v>
      </x:c>
    </x:row>
    <x:row r="191" ht="27" customHeight="1">
      <x:c r="A191" s="2" t="str">
        <x:v>SIM-2025-0186</x:v>
      </x:c>
      <x:c r="B191" s="2" t="str">
        <x:v>2025-08-19</x:v>
      </x:c>
      <x:c r="C191" s="2" t="n">
        <x:v>8</x:v>
      </x:c>
      <x:c r="D191" s="2" t="str">
        <x:v>가상 설비지원팀</x:v>
      </x:c>
      <x:c r="E191" s="2" t="str">
        <x:v>안내자료제작</x:v>
      </x:c>
      <x:c r="F191" s="2" t="str">
        <x:v>일반경쟁</x:v>
      </x:c>
      <x:c r="G191" s="2" t="str">
        <x:v>안내자료제작 가상 과제 186</x:v>
      </x:c>
      <x:c r="H191" s="2" t="str">
        <x:v>가상업체18</x:v>
      </x:c>
      <x:c r="I191" s="5" t="n">
        <x:v>46000000</x:v>
      </x:c>
      <x:c r="J191" s="2" t="str">
        <x:v>완료</x:v>
      </x:c>
      <x:c r="K191" s="2" t="n">
        <x:v>2</x:v>
      </x:c>
      <x:c r="L191" s="2" t="str">
        <x:v>교육용 가상자료</x:v>
      </x:c>
    </x:row>
    <x:row r="192" ht="27" customHeight="1">
      <x:c r="A192" s="2" t="str">
        <x:v>SIM-2025-0187</x:v>
      </x:c>
      <x:c r="B192" s="2" t="str">
        <x:v>2025-08-12</x:v>
      </x:c>
      <x:c r="C192" s="2" t="n">
        <x:v>8</x:v>
      </x:c>
      <x:c r="D192" s="2" t="str">
        <x:v>가상 고객안내팀</x:v>
      </x:c>
      <x:c r="E192" s="2" t="str">
        <x:v>업무교육</x:v>
      </x:c>
      <x:c r="F192" s="2" t="str">
        <x:v>제한경쟁</x:v>
      </x:c>
      <x:c r="G192" s="2" t="str">
        <x:v>업무교육 가상 과제 187</x:v>
      </x:c>
      <x:c r="H192" s="2" t="str">
        <x:v>가상업체19</x:v>
      </x:c>
      <x:c r="I192" s="5" t="n">
        <x:v>50000000</x:v>
      </x:c>
      <x:c r="J192" s="2" t="str">
        <x:v>완료</x:v>
      </x:c>
      <x:c r="K192" s="2" t="n">
        <x:v>3</x:v>
      </x:c>
      <x:c r="L192" s="2" t="str">
        <x:v>교육용 가상자료</x:v>
      </x:c>
    </x:row>
    <x:row r="193" ht="27" customHeight="1">
      <x:c r="A193" s="2" t="str">
        <x:v>SIM-2025-0188</x:v>
      </x:c>
      <x:c r="B193" s="2" t="str">
        <x:v>2025-08-05</x:v>
      </x:c>
      <x:c r="C193" s="2" t="n">
        <x:v>8</x:v>
      </x:c>
      <x:c r="D193" s="2" t="str">
        <x:v>가상 업무교육팀</x:v>
      </x:c>
      <x:c r="E193" s="2" t="str">
        <x:v>기록정비지원</x:v>
      </x:c>
      <x:c r="F193" s="2" t="str">
        <x:v>수의계약</x:v>
      </x:c>
      <x:c r="G193" s="2" t="str">
        <x:v>기록정비지원 가상 과제 188</x:v>
      </x:c>
      <x:c r="H193" s="2" t="str">
        <x:v>가상업체20</x:v>
      </x:c>
      <x:c r="I193" s="5" t="n">
        <x:v>10000000</x:v>
      </x:c>
      <x:c r="J193" s="2" t="str">
        <x:v>완료</x:v>
      </x:c>
      <x:c r="K193" s="2" t="n">
        <x:v>2</x:v>
      </x:c>
      <x:c r="L193" s="2" t="str">
        <x:v>교육용 가상자료</x:v>
      </x:c>
    </x:row>
    <x:row r="194" ht="27" customHeight="1">
      <x:c r="A194" s="2" t="str">
        <x:v>SIM-2025-0189</x:v>
      </x:c>
      <x:c r="B194" s="2" t="str">
        <x:v>2025-08-16</x:v>
      </x:c>
      <x:c r="C194" s="2" t="n">
        <x:v>8</x:v>
      </x:c>
      <x:c r="D194" s="2" t="str">
        <x:v>가상 사업관리팀</x:v>
      </x:c>
      <x:c r="E194" s="2" t="str">
        <x:v>설비점검지원</x:v>
      </x:c>
      <x:c r="F194" s="2" t="str">
        <x:v>일반경쟁</x:v>
      </x:c>
      <x:c r="G194" s="2" t="str">
        <x:v>설비점검지원 가상 과제 189</x:v>
      </x:c>
      <x:c r="H194" s="2" t="str">
        <x:v>가상업체21</x:v>
      </x:c>
      <x:c r="I194" s="5" t="n">
        <x:v>19000000</x:v>
      </x:c>
      <x:c r="J194" s="2" t="str">
        <x:v>완료</x:v>
      </x:c>
      <x:c r="K194" s="2" t="n">
        <x:v>1</x:v>
      </x:c>
      <x:c r="L194" s="2" t="str">
        <x:v>교육용 가상자료</x:v>
      </x:c>
    </x:row>
    <x:row r="195" ht="27" customHeight="1">
      <x:c r="A195" s="2" t="str">
        <x:v>SIM-2025-0190</x:v>
      </x:c>
      <x:c r="B195" s="2" t="str">
        <x:v>2025-08-16</x:v>
      </x:c>
      <x:c r="C195" s="2" t="n">
        <x:v>8</x:v>
      </x:c>
      <x:c r="D195" s="2" t="str">
        <x:v>가상 자료정비팀</x:v>
      </x:c>
      <x:c r="E195" s="2" t="str">
        <x:v>안내자료제작</x:v>
      </x:c>
      <x:c r="F195" s="2" t="str">
        <x:v>일반경쟁</x:v>
      </x:c>
      <x:c r="G195" s="2" t="str">
        <x:v>안내자료제작 가상 과제 190</x:v>
      </x:c>
      <x:c r="H195" s="2" t="str">
        <x:v>가상업체22</x:v>
      </x:c>
      <x:c r="I195" s="5" t="n">
        <x:v>25000000</x:v>
      </x:c>
      <x:c r="J195" s="2" t="str">
        <x:v>완료</x:v>
      </x:c>
      <x:c r="K195" s="2" t="n">
        <x:v>3</x:v>
      </x:c>
      <x:c r="L195" s="2" t="str">
        <x:v>교육용 가상자료</x:v>
      </x:c>
    </x:row>
    <x:row r="196" ht="27" customHeight="1">
      <x:c r="A196" s="2" t="str">
        <x:v>SIM-2025-0191</x:v>
      </x:c>
      <x:c r="B196" s="2" t="str">
        <x:v>2025-08-02</x:v>
      </x:c>
      <x:c r="C196" s="2" t="n">
        <x:v>8</x:v>
      </x:c>
      <x:c r="D196" s="2" t="str">
        <x:v>가상 설비지원팀</x:v>
      </x:c>
      <x:c r="E196" s="2" t="str">
        <x:v>업무교육</x:v>
      </x:c>
      <x:c r="F196" s="2" t="str">
        <x:v>일반경쟁</x:v>
      </x:c>
      <x:c r="G196" s="2" t="str">
        <x:v>업무교육 가상 과제 191</x:v>
      </x:c>
      <x:c r="H196" s="2" t="str">
        <x:v>가상업체23</x:v>
      </x:c>
      <x:c r="I196" s="5" t="n">
        <x:v>39000000</x:v>
      </x:c>
      <x:c r="J196" s="2" t="str">
        <x:v>완료</x:v>
      </x:c>
      <x:c r="K196" s="2" t="n">
        <x:v>2</x:v>
      </x:c>
      <x:c r="L196" s="2" t="str">
        <x:v>교육용 가상자료</x:v>
      </x:c>
    </x:row>
    <x:row r="197" ht="27" customHeight="1">
      <x:c r="A197" s="2" t="str">
        <x:v>SIM-2025-0192</x:v>
      </x:c>
      <x:c r="B197" s="2" t="str">
        <x:v>2025-08-07</x:v>
      </x:c>
      <x:c r="C197" s="2" t="n">
        <x:v>8</x:v>
      </x:c>
      <x:c r="D197" s="2" t="str">
        <x:v>가상 고객안내팀</x:v>
      </x:c>
      <x:c r="E197" s="2" t="str">
        <x:v>기록정비지원</x:v>
      </x:c>
      <x:c r="F197" s="2" t="str">
        <x:v>수의계약</x:v>
      </x:c>
      <x:c r="G197" s="2" t="str">
        <x:v>기록정비지원 가상 과제 192</x:v>
      </x:c>
      <x:c r="H197" s="2" t="str">
        <x:v>가상업체24</x:v>
      </x:c>
      <x:c r="I197" s="5" t="n">
        <x:v>63000000</x:v>
      </x:c>
      <x:c r="J197" s="2" t="str">
        <x:v>완료</x:v>
      </x:c>
      <x:c r="K197" s="2" t="n">
        <x:v>3</x:v>
      </x:c>
      <x:c r="L197" s="2" t="str">
        <x:v>교육용 가상자료</x:v>
      </x:c>
    </x:row>
    <x:row r="198" ht="27" customHeight="1">
      <x:c r="A198" s="2" t="str">
        <x:v>SIM-2025-0193</x:v>
      </x:c>
      <x:c r="B198" s="2" t="str">
        <x:v>2025-08-23</x:v>
      </x:c>
      <x:c r="C198" s="2" t="n">
        <x:v>8</x:v>
      </x:c>
      <x:c r="D198" s="2" t="str">
        <x:v>가상 업무교육팀</x:v>
      </x:c>
      <x:c r="E198" s="2" t="str">
        <x:v>설비점검지원</x:v>
      </x:c>
      <x:c r="F198" s="2" t="str">
        <x:v>수의계약</x:v>
      </x:c>
      <x:c r="G198" s="2" t="str">
        <x:v>설비점검지원 가상 과제 193</x:v>
      </x:c>
      <x:c r="H198" s="2" t="str">
        <x:v>가상업체01</x:v>
      </x:c>
      <x:c r="I198" s="5" t="n">
        <x:v>19000000</x:v>
      </x:c>
      <x:c r="J198" s="2" t="str">
        <x:v>완료</x:v>
      </x:c>
      <x:c r="K198" s="2" t="n">
        <x:v>3</x:v>
      </x:c>
      <x:c r="L198" s="2" t="str">
        <x:v>교육용 가상자료</x:v>
      </x:c>
    </x:row>
    <x:row r="199" ht="27" customHeight="1">
      <x:c r="A199" s="2" t="str">
        <x:v>SIM-2025-0194</x:v>
      </x:c>
      <x:c r="B199" s="2" t="str">
        <x:v>2025-08-06</x:v>
      </x:c>
      <x:c r="C199" s="2" t="n">
        <x:v>8</x:v>
      </x:c>
      <x:c r="D199" s="2" t="str">
        <x:v>가상 사업관리팀</x:v>
      </x:c>
      <x:c r="E199" s="2" t="str">
        <x:v>안내자료제작</x:v>
      </x:c>
      <x:c r="F199" s="2" t="str">
        <x:v>수의계약</x:v>
      </x:c>
      <x:c r="G199" s="2" t="str">
        <x:v>안내자료제작 가상 과제 194</x:v>
      </x:c>
      <x:c r="H199" s="2" t="str">
        <x:v>가상업체02</x:v>
      </x:c>
      <x:c r="I199" s="5" t="n">
        <x:v>61000000</x:v>
      </x:c>
      <x:c r="J199" s="2" t="str">
        <x:v>완료</x:v>
      </x:c>
      <x:c r="K199" s="2" t="n">
        <x:v>0</x:v>
      </x:c>
      <x:c r="L199" s="2" t="str">
        <x:v>교육용 가상자료</x:v>
      </x:c>
    </x:row>
    <x:row r="200" ht="27" customHeight="1">
      <x:c r="A200" s="2" t="str">
        <x:v>SIM-2025-0195</x:v>
      </x:c>
      <x:c r="B200" s="2" t="str">
        <x:v>2025-08-25</x:v>
      </x:c>
      <x:c r="C200" s="2" t="n">
        <x:v>8</x:v>
      </x:c>
      <x:c r="D200" s="2" t="str">
        <x:v>가상 자료정비팀</x:v>
      </x:c>
      <x:c r="E200" s="2" t="str">
        <x:v>업무교육</x:v>
      </x:c>
      <x:c r="F200" s="2" t="str">
        <x:v>일반경쟁</x:v>
      </x:c>
      <x:c r="G200" s="2" t="str">
        <x:v>업무교육 가상 과제 195</x:v>
      </x:c>
      <x:c r="H200" s="2" t="str">
        <x:v>가상업체03</x:v>
      </x:c>
      <x:c r="I200" s="5" t="n">
        <x:v>64000000</x:v>
      </x:c>
      <x:c r="J200" s="2" t="str">
        <x:v>완료</x:v>
      </x:c>
      <x:c r="K200" s="2" t="n">
        <x:v>3</x:v>
      </x:c>
      <x:c r="L200" s="2" t="str">
        <x:v>교육용 가상자료</x:v>
      </x:c>
    </x:row>
    <x:row r="201" ht="27" customHeight="1">
      <x:c r="A201" s="2" t="str">
        <x:v>SIM-2025-0196</x:v>
      </x:c>
      <x:c r="B201" s="2" t="str">
        <x:v>2025-08-22</x:v>
      </x:c>
      <x:c r="C201" s="2" t="n">
        <x:v>8</x:v>
      </x:c>
      <x:c r="D201" s="2" t="str">
        <x:v>가상 설비지원팀</x:v>
      </x:c>
      <x:c r="E201" s="2" t="str">
        <x:v>기록정비지원</x:v>
      </x:c>
      <x:c r="F201" s="2" t="str">
        <x:v>일반경쟁</x:v>
      </x:c>
      <x:c r="G201" s="2" t="str">
        <x:v>기록정비지원 가상 과제 196</x:v>
      </x:c>
      <x:c r="H201" s="2" t="str">
        <x:v>가상업체04</x:v>
      </x:c>
      <x:c r="I201" s="5" t="n">
        <x:v>42000000</x:v>
      </x:c>
      <x:c r="J201" s="2" t="str">
        <x:v>완료</x:v>
      </x:c>
      <x:c r="K201" s="2" t="n">
        <x:v>0</x:v>
      </x:c>
      <x:c r="L201" s="2" t="str">
        <x:v>교육용 가상자료</x:v>
      </x:c>
    </x:row>
    <x:row r="202" ht="27" customHeight="1">
      <x:c r="A202" s="2" t="str">
        <x:v>SIM-2025-0197</x:v>
      </x:c>
      <x:c r="B202" s="2" t="str">
        <x:v>2025-08-15</x:v>
      </x:c>
      <x:c r="C202" s="2" t="n">
        <x:v>8</x:v>
      </x:c>
      <x:c r="D202" s="2" t="str">
        <x:v>가상 고객안내팀</x:v>
      </x:c>
      <x:c r="E202" s="2" t="str">
        <x:v>설비점검지원</x:v>
      </x:c>
      <x:c r="F202" s="2" t="str">
        <x:v>일반경쟁</x:v>
      </x:c>
      <x:c r="G202" s="2" t="str">
        <x:v>설비점검지원 가상 과제 197</x:v>
      </x:c>
      <x:c r="H202" s="2" t="str">
        <x:v>가상업체05</x:v>
      </x:c>
      <x:c r="I202" s="5" t="n">
        <x:v>11000000</x:v>
      </x:c>
      <x:c r="J202" s="2" t="str">
        <x:v>완료</x:v>
      </x:c>
      <x:c r="K202" s="2" t="n">
        <x:v>3</x:v>
      </x:c>
      <x:c r="L202" s="2" t="str">
        <x:v>교육용 가상자료</x:v>
      </x:c>
    </x:row>
    <x:row r="203" ht="27" customHeight="1">
      <x:c r="A203" s="2" t="str">
        <x:v>SIM-2025-0198</x:v>
      </x:c>
      <x:c r="B203" s="2" t="str">
        <x:v>2025-08-15</x:v>
      </x:c>
      <x:c r="C203" s="2" t="n">
        <x:v>8</x:v>
      </x:c>
      <x:c r="D203" s="2" t="str">
        <x:v>가상 업무교육팀</x:v>
      </x:c>
      <x:c r="E203" s="2" t="str">
        <x:v>안내자료제작</x:v>
      </x:c>
      <x:c r="F203" s="2" t="str">
        <x:v>제한경쟁</x:v>
      </x:c>
      <x:c r="G203" s="2" t="str">
        <x:v>안내자료제작 가상 과제 198</x:v>
      </x:c>
      <x:c r="H203" s="2" t="str">
        <x:v>가상업체06</x:v>
      </x:c>
      <x:c r="I203" s="5" t="n">
        <x:v>67000000</x:v>
      </x:c>
      <x:c r="J203" s="2" t="str">
        <x:v>완료</x:v>
      </x:c>
      <x:c r="K203" s="2" t="n">
        <x:v>0</x:v>
      </x:c>
      <x:c r="L203" s="2" t="str">
        <x:v>교육용 가상자료</x:v>
      </x:c>
    </x:row>
    <x:row r="204" ht="27" customHeight="1">
      <x:c r="A204" s="2" t="str">
        <x:v>SIM-2025-0199</x:v>
      </x:c>
      <x:c r="B204" s="2" t="str">
        <x:v>2025-08-25</x:v>
      </x:c>
      <x:c r="C204" s="2" t="n">
        <x:v>8</x:v>
      </x:c>
      <x:c r="D204" s="2" t="str">
        <x:v>가상 사업관리팀</x:v>
      </x:c>
      <x:c r="E204" s="2" t="str">
        <x:v>업무교육</x:v>
      </x:c>
      <x:c r="F204" s="2" t="str">
        <x:v>수의계약</x:v>
      </x:c>
      <x:c r="G204" s="2" t="str">
        <x:v>업무교육 가상 과제 199</x:v>
      </x:c>
      <x:c r="H204" s="2" t="str">
        <x:v>가상업체07</x:v>
      </x:c>
      <x:c r="I204" s="5" t="n">
        <x:v>51000000</x:v>
      </x:c>
      <x:c r="J204" s="2" t="str">
        <x:v>완료</x:v>
      </x:c>
      <x:c r="K204" s="2" t="n">
        <x:v>0</x:v>
      </x:c>
      <x:c r="L204" s="2" t="str">
        <x:v>교육용 가상자료</x:v>
      </x:c>
    </x:row>
    <x:row r="205" ht="27" customHeight="1">
      <x:c r="A205" s="2" t="str">
        <x:v>SIM-2025-0200</x:v>
      </x:c>
      <x:c r="B205" s="2" t="str">
        <x:v>2025-08-22</x:v>
      </x:c>
      <x:c r="C205" s="2" t="n">
        <x:v>8</x:v>
      </x:c>
      <x:c r="D205" s="2" t="str">
        <x:v>가상 자료정비팀</x:v>
      </x:c>
      <x:c r="E205" s="2" t="str">
        <x:v>기록정비지원</x:v>
      </x:c>
      <x:c r="F205" s="2" t="str">
        <x:v>수의계약</x:v>
      </x:c>
      <x:c r="G205" s="2" t="str">
        <x:v>기록정비지원 가상 과제 200</x:v>
      </x:c>
      <x:c r="H205" s="2" t="str">
        <x:v>가상업체08</x:v>
      </x:c>
      <x:c r="I205" s="5" t="n">
        <x:v>19000000</x:v>
      </x:c>
      <x:c r="J205" s="2" t="str">
        <x:v>완료</x:v>
      </x:c>
      <x:c r="K205" s="2" t="n">
        <x:v>1</x:v>
      </x:c>
      <x:c r="L205" s="2" t="str">
        <x:v>교육용 가상자료</x:v>
      </x:c>
    </x:row>
    <x:row r="206" ht="27" customHeight="1">
      <x:c r="A206" s="2" t="str">
        <x:v>SIM-2025-0201</x:v>
      </x:c>
      <x:c r="B206" s="2" t="str">
        <x:v>2025-09-07</x:v>
      </x:c>
      <x:c r="C206" s="2" t="n">
        <x:v>9</x:v>
      </x:c>
      <x:c r="D206" s="2" t="str">
        <x:v>가상 설비지원팀</x:v>
      </x:c>
      <x:c r="E206" s="2" t="str">
        <x:v>설비점검지원</x:v>
      </x:c>
      <x:c r="F206" s="2" t="str">
        <x:v>일반경쟁</x:v>
      </x:c>
      <x:c r="G206" s="2" t="str">
        <x:v>설비점검지원 가상 과제 201</x:v>
      </x:c>
      <x:c r="H206" s="2" t="str">
        <x:v>가상업체09</x:v>
      </x:c>
      <x:c r="I206" s="5" t="n">
        <x:v>53000000</x:v>
      </x:c>
      <x:c r="J206" s="2" t="str">
        <x:v>완료</x:v>
      </x:c>
      <x:c r="K206" s="2" t="n">
        <x:v>3</x:v>
      </x:c>
      <x:c r="L206" s="2" t="str">
        <x:v>교육용 가상자료</x:v>
      </x:c>
    </x:row>
    <x:row r="207" ht="27" customHeight="1">
      <x:c r="A207" s="2" t="str">
        <x:v>SIM-2025-0202</x:v>
      </x:c>
      <x:c r="B207" s="2" t="str">
        <x:v>2025-09-20</x:v>
      </x:c>
      <x:c r="C207" s="2" t="n">
        <x:v>9</x:v>
      </x:c>
      <x:c r="D207" s="2" t="str">
        <x:v>가상 고객안내팀</x:v>
      </x:c>
      <x:c r="E207" s="2" t="str">
        <x:v>안내자료제작</x:v>
      </x:c>
      <x:c r="F207" s="2" t="str">
        <x:v>일반경쟁</x:v>
      </x:c>
      <x:c r="G207" s="2" t="str">
        <x:v>안내자료제작 가상 과제 202</x:v>
      </x:c>
      <x:c r="H207" s="2" t="str">
        <x:v>가상업체10</x:v>
      </x:c>
      <x:c r="I207" s="5" t="n">
        <x:v>33000000</x:v>
      </x:c>
      <x:c r="J207" s="2" t="str">
        <x:v>완료</x:v>
      </x:c>
      <x:c r="K207" s="2" t="n">
        <x:v>2</x:v>
      </x:c>
      <x:c r="L207" s="2" t="str">
        <x:v>교육용 가상자료</x:v>
      </x:c>
    </x:row>
    <x:row r="208" ht="27" customHeight="1">
      <x:c r="A208" s="2" t="str">
        <x:v>SIM-2025-0203</x:v>
      </x:c>
      <x:c r="B208" s="2" t="str">
        <x:v>2025-09-05</x:v>
      </x:c>
      <x:c r="C208" s="2" t="n">
        <x:v>9</x:v>
      </x:c>
      <x:c r="D208" s="2" t="str">
        <x:v>가상 업무교육팀</x:v>
      </x:c>
      <x:c r="E208" s="2" t="str">
        <x:v>업무교육</x:v>
      </x:c>
      <x:c r="F208" s="2" t="str">
        <x:v>수의계약</x:v>
      </x:c>
      <x:c r="G208" s="2" t="str">
        <x:v>업무교육 가상 과제 203</x:v>
      </x:c>
      <x:c r="H208" s="2" t="str">
        <x:v>가상업체11</x:v>
      </x:c>
      <x:c r="I208" s="5" t="n">
        <x:v>13000000</x:v>
      </x:c>
      <x:c r="J208" s="2" t="str">
        <x:v>완료</x:v>
      </x:c>
      <x:c r="K208" s="2" t="n">
        <x:v>2</x:v>
      </x:c>
      <x:c r="L208" s="2" t="str">
        <x:v>교육용 가상자료</x:v>
      </x:c>
    </x:row>
    <x:row r="209" ht="27" customHeight="1">
      <x:c r="A209" s="2" t="str">
        <x:v>SIM-2025-0204</x:v>
      </x:c>
      <x:c r="B209" s="2" t="str">
        <x:v>2025-09-12</x:v>
      </x:c>
      <x:c r="C209" s="2" t="n">
        <x:v>9</x:v>
      </x:c>
      <x:c r="D209" s="2" t="str">
        <x:v>가상 사업관리팀</x:v>
      </x:c>
      <x:c r="E209" s="2" t="str">
        <x:v>기록정비지원</x:v>
      </x:c>
      <x:c r="F209" s="2" t="str">
        <x:v>수의계약</x:v>
      </x:c>
      <x:c r="G209" s="2" t="str">
        <x:v>기록정비지원 가상 과제 204</x:v>
      </x:c>
      <x:c r="H209" s="2" t="str">
        <x:v>가상업체12</x:v>
      </x:c>
      <x:c r="I209" s="5" t="n">
        <x:v>62000000</x:v>
      </x:c>
      <x:c r="J209" s="2" t="str">
        <x:v>완료</x:v>
      </x:c>
      <x:c r="K209" s="2" t="n">
        <x:v>3</x:v>
      </x:c>
      <x:c r="L209" s="2" t="str">
        <x:v>교육용 가상자료</x:v>
      </x:c>
    </x:row>
    <x:row r="210" ht="27" customHeight="1">
      <x:c r="A210" s="2" t="str">
        <x:v>SIM-2025-0205</x:v>
      </x:c>
      <x:c r="B210" s="2" t="str">
        <x:v>2025-09-23</x:v>
      </x:c>
      <x:c r="C210" s="2" t="n">
        <x:v>9</x:v>
      </x:c>
      <x:c r="D210" s="2" t="str">
        <x:v>가상 자료정비팀</x:v>
      </x:c>
      <x:c r="E210" s="2" t="str">
        <x:v>설비점검지원</x:v>
      </x:c>
      <x:c r="F210" s="2" t="str">
        <x:v>수의계약</x:v>
      </x:c>
      <x:c r="G210" s="2" t="str">
        <x:v>설비점검지원 가상 과제 205</x:v>
      </x:c>
      <x:c r="H210" s="2" t="str">
        <x:v>가상업체13</x:v>
      </x:c>
      <x:c r="I210" s="5" t="n">
        <x:v>20000000</x:v>
      </x:c>
      <x:c r="J210" s="2" t="str">
        <x:v>완료</x:v>
      </x:c>
      <x:c r="K210" s="2" t="n">
        <x:v>0</x:v>
      </x:c>
      <x:c r="L210" s="2" t="str">
        <x:v>교육용 가상자료</x:v>
      </x:c>
    </x:row>
    <x:row r="211" ht="27" customHeight="1">
      <x:c r="A211" s="2" t="str">
        <x:v>SIM-2025-0206</x:v>
      </x:c>
      <x:c r="B211" s="2" t="str">
        <x:v>2025-09-04</x:v>
      </x:c>
      <x:c r="C211" s="2" t="n">
        <x:v>9</x:v>
      </x:c>
      <x:c r="D211" s="2" t="str">
        <x:v>가상 설비지원팀</x:v>
      </x:c>
      <x:c r="E211" s="2" t="str">
        <x:v>안내자료제작</x:v>
      </x:c>
      <x:c r="F211" s="2" t="str">
        <x:v>일반경쟁</x:v>
      </x:c>
      <x:c r="G211" s="2" t="str">
        <x:v>안내자료제작 가상 과제 206</x:v>
      </x:c>
      <x:c r="H211" s="2" t="str">
        <x:v>가상업체14</x:v>
      </x:c>
      <x:c r="I211" s="5" t="n">
        <x:v>34000000</x:v>
      </x:c>
      <x:c r="J211" s="2" t="str">
        <x:v>완료</x:v>
      </x:c>
      <x:c r="K211" s="2" t="n">
        <x:v>3</x:v>
      </x:c>
      <x:c r="L211" s="2" t="str">
        <x:v>교육용 가상자료</x:v>
      </x:c>
    </x:row>
    <x:row r="212" ht="27" customHeight="1">
      <x:c r="A212" s="2" t="str">
        <x:v>SIM-2025-0207</x:v>
      </x:c>
      <x:c r="B212" s="2" t="str">
        <x:v>2025-09-14</x:v>
      </x:c>
      <x:c r="C212" s="2" t="n">
        <x:v>9</x:v>
      </x:c>
      <x:c r="D212" s="2" t="str">
        <x:v>가상 고객안내팀</x:v>
      </x:c>
      <x:c r="E212" s="2" t="str">
        <x:v>업무교육</x:v>
      </x:c>
      <x:c r="F212" s="2" t="str">
        <x:v>제한경쟁</x:v>
      </x:c>
      <x:c r="G212" s="2" t="str">
        <x:v>업무교육 가상 과제 207</x:v>
      </x:c>
      <x:c r="H212" s="2" t="str">
        <x:v>가상업체15</x:v>
      </x:c>
      <x:c r="I212" s="5" t="n">
        <x:v>51000000</x:v>
      </x:c>
      <x:c r="J212" s="2" t="str">
        <x:v>완료</x:v>
      </x:c>
      <x:c r="K212" s="2" t="n">
        <x:v>2</x:v>
      </x:c>
      <x:c r="L212" s="2" t="str">
        <x:v>교육용 가상자료</x:v>
      </x:c>
    </x:row>
    <x:row r="213" ht="27" customHeight="1">
      <x:c r="A213" s="2" t="str">
        <x:v>SIM-2025-0208</x:v>
      </x:c>
      <x:c r="B213" s="2" t="str">
        <x:v>2025-09-01</x:v>
      </x:c>
      <x:c r="C213" s="2" t="n">
        <x:v>9</x:v>
      </x:c>
      <x:c r="D213" s="2" t="str">
        <x:v>가상 업무교육팀</x:v>
      </x:c>
      <x:c r="E213" s="2" t="str">
        <x:v>기록정비지원</x:v>
      </x:c>
      <x:c r="F213" s="2" t="str">
        <x:v>수의계약</x:v>
      </x:c>
      <x:c r="G213" s="2" t="str">
        <x:v>기록정비지원 가상 과제 208</x:v>
      </x:c>
      <x:c r="H213" s="2" t="str">
        <x:v>가상업체16</x:v>
      </x:c>
      <x:c r="I213" s="5" t="n">
        <x:v>24000000</x:v>
      </x:c>
      <x:c r="J213" s="2" t="str">
        <x:v>완료</x:v>
      </x:c>
      <x:c r="K213" s="2" t="n">
        <x:v>3</x:v>
      </x:c>
      <x:c r="L213" s="2" t="str">
        <x:v>교육용 가상자료</x:v>
      </x:c>
    </x:row>
    <x:row r="214" ht="27" customHeight="1">
      <x:c r="A214" s="2" t="str">
        <x:v>SIM-2025-0209</x:v>
      </x:c>
      <x:c r="B214" s="2" t="str">
        <x:v>2025-09-04</x:v>
      </x:c>
      <x:c r="C214" s="2" t="n">
        <x:v>9</x:v>
      </x:c>
      <x:c r="D214" s="2" t="str">
        <x:v>가상 사업관리팀</x:v>
      </x:c>
      <x:c r="E214" s="2" t="str">
        <x:v>설비점검지원</x:v>
      </x:c>
      <x:c r="F214" s="2" t="str">
        <x:v>일반경쟁</x:v>
      </x:c>
      <x:c r="G214" s="2" t="str">
        <x:v>설비점검지원 가상 과제 209</x:v>
      </x:c>
      <x:c r="H214" s="2" t="str">
        <x:v>가상업체17</x:v>
      </x:c>
      <x:c r="I214" s="5" t="n">
        <x:v>27000000</x:v>
      </x:c>
      <x:c r="J214" s="2" t="str">
        <x:v>완료</x:v>
      </x:c>
      <x:c r="K214" s="2" t="n">
        <x:v>1</x:v>
      </x:c>
      <x:c r="L214" s="2" t="str">
        <x:v>교육용 가상자료</x:v>
      </x:c>
    </x:row>
    <x:row r="215" ht="27" customHeight="1">
      <x:c r="A215" s="2" t="str">
        <x:v>SIM-2025-0210</x:v>
      </x:c>
      <x:c r="B215" s="2" t="str">
        <x:v>2025-09-14</x:v>
      </x:c>
      <x:c r="C215" s="2" t="n">
        <x:v>9</x:v>
      </x:c>
      <x:c r="D215" s="2" t="str">
        <x:v>가상 자료정비팀</x:v>
      </x:c>
      <x:c r="E215" s="2" t="str">
        <x:v>안내자료제작</x:v>
      </x:c>
      <x:c r="F215" s="2" t="str">
        <x:v>일반경쟁</x:v>
      </x:c>
      <x:c r="G215" s="2" t="str">
        <x:v>안내자료제작 가상 과제 210</x:v>
      </x:c>
      <x:c r="H215" s="2" t="str">
        <x:v>가상업체18</x:v>
      </x:c>
      <x:c r="I215" s="5" t="n">
        <x:v>18000000</x:v>
      </x:c>
      <x:c r="J215" s="2" t="str">
        <x:v>완료</x:v>
      </x:c>
      <x:c r="K215" s="2" t="n">
        <x:v>3</x:v>
      </x:c>
      <x:c r="L215" s="2" t="str">
        <x:v>교육용 가상자료</x:v>
      </x:c>
    </x:row>
    <x:row r="216" ht="27" customHeight="1">
      <x:c r="A216" s="2" t="str">
        <x:v>SIM-2025-0211</x:v>
      </x:c>
      <x:c r="B216" s="2" t="str">
        <x:v>2025-09-24</x:v>
      </x:c>
      <x:c r="C216" s="2" t="n">
        <x:v>9</x:v>
      </x:c>
      <x:c r="D216" s="2" t="str">
        <x:v>가상 설비지원팀</x:v>
      </x:c>
      <x:c r="E216" s="2" t="str">
        <x:v>업무교육</x:v>
      </x:c>
      <x:c r="F216" s="2" t="str">
        <x:v>일반경쟁</x:v>
      </x:c>
      <x:c r="G216" s="2" t="str">
        <x:v>업무교육 가상 과제 211</x:v>
      </x:c>
      <x:c r="H216" s="2" t="str">
        <x:v>가상업체19</x:v>
      </x:c>
      <x:c r="I216" s="5" t="n">
        <x:v>59000000</x:v>
      </x:c>
      <x:c r="J216" s="2" t="str">
        <x:v>완료</x:v>
      </x:c>
      <x:c r="K216" s="2" t="n">
        <x:v>1</x:v>
      </x:c>
      <x:c r="L216" s="2" t="str">
        <x:v>교육용 가상자료</x:v>
      </x:c>
    </x:row>
    <x:row r="217" ht="27" customHeight="1">
      <x:c r="A217" s="2" t="str">
        <x:v>SIM-2025-0212</x:v>
      </x:c>
      <x:c r="B217" s="2" t="str">
        <x:v>2025-09-15</x:v>
      </x:c>
      <x:c r="C217" s="2" t="n">
        <x:v>9</x:v>
      </x:c>
      <x:c r="D217" s="2" t="str">
        <x:v>가상 고객안내팀</x:v>
      </x:c>
      <x:c r="E217" s="2" t="str">
        <x:v>기록정비지원</x:v>
      </x:c>
      <x:c r="F217" s="2" t="str">
        <x:v>제한경쟁</x:v>
      </x:c>
      <x:c r="G217" s="2" t="str">
        <x:v>기록정비지원 가상 과제 212</x:v>
      </x:c>
      <x:c r="H217" s="2" t="str">
        <x:v>가상업체20</x:v>
      </x:c>
      <x:c r="I217" s="5" t="n">
        <x:v>52000000</x:v>
      </x:c>
      <x:c r="J217" s="2" t="str">
        <x:v>완료</x:v>
      </x:c>
      <x:c r="K217" s="2" t="n">
        <x:v>2</x:v>
      </x:c>
      <x:c r="L217" s="2" t="str">
        <x:v>교육용 가상자료</x:v>
      </x:c>
    </x:row>
    <x:row r="218" ht="27" customHeight="1">
      <x:c r="A218" s="2" t="str">
        <x:v>SIM-2025-0213</x:v>
      </x:c>
      <x:c r="B218" s="2" t="str">
        <x:v>2025-09-26</x:v>
      </x:c>
      <x:c r="C218" s="2" t="n">
        <x:v>9</x:v>
      </x:c>
      <x:c r="D218" s="2" t="str">
        <x:v>가상 업무교육팀</x:v>
      </x:c>
      <x:c r="E218" s="2" t="str">
        <x:v>설비점검지원</x:v>
      </x:c>
      <x:c r="F218" s="2" t="str">
        <x:v>수의계약</x:v>
      </x:c>
      <x:c r="G218" s="2" t="str">
        <x:v>설비점검지원 가상 과제 213</x:v>
      </x:c>
      <x:c r="H218" s="2" t="str">
        <x:v>가상업체21</x:v>
      </x:c>
      <x:c r="I218" s="5" t="n">
        <x:v>20000000</x:v>
      </x:c>
      <x:c r="J218" s="2" t="str">
        <x:v>완료</x:v>
      </x:c>
      <x:c r="K218" s="2" t="n">
        <x:v>1</x:v>
      </x:c>
      <x:c r="L218" s="2" t="str">
        <x:v>교육용 가상자료</x:v>
      </x:c>
    </x:row>
    <x:row r="219" ht="27" customHeight="1">
      <x:c r="A219" s="2" t="str">
        <x:v>SIM-2025-0214</x:v>
      </x:c>
      <x:c r="B219" s="2" t="str">
        <x:v>2025-09-07</x:v>
      </x:c>
      <x:c r="C219" s="2" t="n">
        <x:v>9</x:v>
      </x:c>
      <x:c r="D219" s="2" t="str">
        <x:v>가상 사업관리팀</x:v>
      </x:c>
      <x:c r="E219" s="2" t="str">
        <x:v>안내자료제작</x:v>
      </x:c>
      <x:c r="F219" s="2" t="str">
        <x:v>수의계약</x:v>
      </x:c>
      <x:c r="G219" s="2" t="str">
        <x:v>안내자료제작 가상 과제 214</x:v>
      </x:c>
      <x:c r="H219" s="2" t="str">
        <x:v>가상업체22</x:v>
      </x:c>
      <x:c r="I219" s="5" t="n">
        <x:v>75000000</x:v>
      </x:c>
      <x:c r="J219" s="2" t="str">
        <x:v>완료</x:v>
      </x:c>
      <x:c r="K219" s="2" t="n">
        <x:v>0</x:v>
      </x:c>
      <x:c r="L219" s="2" t="str">
        <x:v>교육용 가상자료</x:v>
      </x:c>
    </x:row>
    <x:row r="220" ht="27" customHeight="1">
      <x:c r="A220" s="2" t="str">
        <x:v>SIM-2025-0215</x:v>
      </x:c>
      <x:c r="B220" s="2" t="str">
        <x:v>2025-09-18</x:v>
      </x:c>
      <x:c r="C220" s="2" t="n">
        <x:v>9</x:v>
      </x:c>
      <x:c r="D220" s="2" t="str">
        <x:v>가상 자료정비팀</x:v>
      </x:c>
      <x:c r="E220" s="2" t="str">
        <x:v>업무교육</x:v>
      </x:c>
      <x:c r="F220" s="2" t="str">
        <x:v>일반경쟁</x:v>
      </x:c>
      <x:c r="G220" s="2" t="str">
        <x:v>업무교육 가상 과제 215</x:v>
      </x:c>
      <x:c r="H220" s="2" t="str">
        <x:v>가상업체23</x:v>
      </x:c>
      <x:c r="I220" s="5" t="n">
        <x:v>35000000</x:v>
      </x:c>
      <x:c r="J220" s="2" t="str">
        <x:v>완료</x:v>
      </x:c>
      <x:c r="K220" s="2" t="n">
        <x:v>0</x:v>
      </x:c>
      <x:c r="L220" s="2" t="str">
        <x:v>교육용 가상자료</x:v>
      </x:c>
    </x:row>
    <x:row r="221" ht="27" customHeight="1">
      <x:c r="A221" s="2" t="str">
        <x:v>SIM-2025-0216</x:v>
      </x:c>
      <x:c r="B221" s="2" t="str">
        <x:v>2025-09-11</x:v>
      </x:c>
      <x:c r="C221" s="2" t="n">
        <x:v>9</x:v>
      </x:c>
      <x:c r="D221" s="2" t="str">
        <x:v>가상 설비지원팀</x:v>
      </x:c>
      <x:c r="E221" s="2" t="str">
        <x:v>기록정비지원</x:v>
      </x:c>
      <x:c r="F221" s="2" t="str">
        <x:v>제한경쟁</x:v>
      </x:c>
      <x:c r="G221" s="2" t="str">
        <x:v>기록정비지원 가상 과제 216</x:v>
      </x:c>
      <x:c r="H221" s="2" t="str">
        <x:v>가상업체24</x:v>
      </x:c>
      <x:c r="I221" s="5" t="n">
        <x:v>43000000</x:v>
      </x:c>
      <x:c r="J221" s="2" t="str">
        <x:v>완료</x:v>
      </x:c>
      <x:c r="K221" s="2" t="n">
        <x:v>3</x:v>
      </x:c>
      <x:c r="L221" s="2" t="str">
        <x:v>교육용 가상자료</x:v>
      </x:c>
    </x:row>
    <x:row r="222" ht="27" customHeight="1">
      <x:c r="A222" s="2" t="str">
        <x:v>SIM-2025-0217</x:v>
      </x:c>
      <x:c r="B222" s="2" t="str">
        <x:v>2025-09-25</x:v>
      </x:c>
      <x:c r="C222" s="2" t="n">
        <x:v>9</x:v>
      </x:c>
      <x:c r="D222" s="2" t="str">
        <x:v>가상 고객안내팀</x:v>
      </x:c>
      <x:c r="E222" s="2" t="str">
        <x:v>설비점검지원</x:v>
      </x:c>
      <x:c r="F222" s="2" t="str">
        <x:v>제한경쟁</x:v>
      </x:c>
      <x:c r="G222" s="2" t="str">
        <x:v>설비점검지원 가상 과제 217</x:v>
      </x:c>
      <x:c r="H222" s="2" t="str">
        <x:v>가상업체01</x:v>
      </x:c>
      <x:c r="I222" s="5" t="n">
        <x:v>26000000</x:v>
      </x:c>
      <x:c r="J222" s="2" t="str">
        <x:v>완료</x:v>
      </x:c>
      <x:c r="K222" s="2" t="n">
        <x:v>1</x:v>
      </x:c>
      <x:c r="L222" s="2" t="str">
        <x:v>교육용 가상자료</x:v>
      </x:c>
    </x:row>
    <x:row r="223" ht="27" customHeight="1">
      <x:c r="A223" s="2" t="str">
        <x:v>SIM-2025-0218</x:v>
      </x:c>
      <x:c r="B223" s="2" t="str">
        <x:v>2025-09-25</x:v>
      </x:c>
      <x:c r="C223" s="2" t="n">
        <x:v>9</x:v>
      </x:c>
      <x:c r="D223" s="2" t="str">
        <x:v>가상 업무교육팀</x:v>
      </x:c>
      <x:c r="E223" s="2" t="str">
        <x:v>안내자료제작</x:v>
      </x:c>
      <x:c r="F223" s="2" t="str">
        <x:v>수의계약</x:v>
      </x:c>
      <x:c r="G223" s="2" t="str">
        <x:v>안내자료제작 가상 과제 218</x:v>
      </x:c>
      <x:c r="H223" s="2" t="str">
        <x:v>가상업체02</x:v>
      </x:c>
      <x:c r="I223" s="5" t="n">
        <x:v>75000000</x:v>
      </x:c>
      <x:c r="J223" s="2" t="str">
        <x:v>완료</x:v>
      </x:c>
      <x:c r="K223" s="2" t="n">
        <x:v>1</x:v>
      </x:c>
      <x:c r="L223" s="2" t="str">
        <x:v>교육용 가상자료</x:v>
      </x:c>
    </x:row>
    <x:row r="224" ht="27" customHeight="1">
      <x:c r="A224" s="2" t="str">
        <x:v>SIM-2025-0219</x:v>
      </x:c>
      <x:c r="B224" s="2" t="str">
        <x:v>2025-09-01</x:v>
      </x:c>
      <x:c r="C224" s="2" t="n">
        <x:v>9</x:v>
      </x:c>
      <x:c r="D224" s="2" t="str">
        <x:v>가상 사업관리팀</x:v>
      </x:c>
      <x:c r="E224" s="2" t="str">
        <x:v>업무교육</x:v>
      </x:c>
      <x:c r="F224" s="2" t="str">
        <x:v>일반경쟁</x:v>
      </x:c>
      <x:c r="G224" s="2" t="str">
        <x:v>업무교육 가상 과제 219</x:v>
      </x:c>
      <x:c r="H224" s="2" t="str">
        <x:v>가상업체03</x:v>
      </x:c>
      <x:c r="I224" s="5" t="n">
        <x:v>34000000</x:v>
      </x:c>
      <x:c r="J224" s="2" t="str">
        <x:v>완료</x:v>
      </x:c>
      <x:c r="K224" s="2" t="n">
        <x:v>1</x:v>
      </x:c>
      <x:c r="L224" s="2" t="str">
        <x:v>교육용 가상자료</x:v>
      </x:c>
    </x:row>
    <x:row r="225" ht="27" customHeight="1">
      <x:c r="A225" s="2" t="str">
        <x:v>SIM-2025-0220</x:v>
      </x:c>
      <x:c r="B225" s="2" t="str">
        <x:v>2025-09-10</x:v>
      </x:c>
      <x:c r="C225" s="2" t="n">
        <x:v>9</x:v>
      </x:c>
      <x:c r="D225" s="2" t="str">
        <x:v>가상 자료정비팀</x:v>
      </x:c>
      <x:c r="E225" s="2" t="str">
        <x:v>기록정비지원</x:v>
      </x:c>
      <x:c r="F225" s="2" t="str">
        <x:v>제한경쟁</x:v>
      </x:c>
      <x:c r="G225" s="2" t="str">
        <x:v>기록정비지원 가상 과제 220</x:v>
      </x:c>
      <x:c r="H225" s="2" t="str">
        <x:v>가상업체04</x:v>
      </x:c>
      <x:c r="I225" s="5" t="n">
        <x:v>40000000</x:v>
      </x:c>
      <x:c r="J225" s="2" t="str">
        <x:v>완료</x:v>
      </x:c>
      <x:c r="K225" s="2" t="n">
        <x:v>1</x:v>
      </x:c>
      <x:c r="L225" s="2" t="str">
        <x:v>교육용 가상자료</x:v>
      </x:c>
    </x:row>
    <x:row r="226" ht="27" customHeight="1">
      <x:c r="A226" s="2" t="str">
        <x:v>SIM-2025-0221</x:v>
      </x:c>
      <x:c r="B226" s="2" t="str">
        <x:v>2025-09-21</x:v>
      </x:c>
      <x:c r="C226" s="2" t="n">
        <x:v>9</x:v>
      </x:c>
      <x:c r="D226" s="2" t="str">
        <x:v>가상 설비지원팀</x:v>
      </x:c>
      <x:c r="E226" s="2" t="str">
        <x:v>설비점검지원</x:v>
      </x:c>
      <x:c r="F226" s="2" t="str">
        <x:v>일반경쟁</x:v>
      </x:c>
      <x:c r="G226" s="2" t="str">
        <x:v>설비점검지원 가상 과제 221</x:v>
      </x:c>
      <x:c r="H226" s="2" t="str">
        <x:v>가상업체05</x:v>
      </x:c>
      <x:c r="I226" s="5" t="n">
        <x:v>39000000</x:v>
      </x:c>
      <x:c r="J226" s="2" t="str">
        <x:v>완료</x:v>
      </x:c>
      <x:c r="K226" s="2" t="n">
        <x:v>1</x:v>
      </x:c>
      <x:c r="L226" s="2" t="str">
        <x:v>교육용 가상자료</x:v>
      </x:c>
    </x:row>
    <x:row r="227" ht="27" customHeight="1">
      <x:c r="A227" s="2" t="str">
        <x:v>SIM-2025-0222</x:v>
      </x:c>
      <x:c r="B227" s="2" t="str">
        <x:v>2025-09-01</x:v>
      </x:c>
      <x:c r="C227" s="2" t="n">
        <x:v>9</x:v>
      </x:c>
      <x:c r="D227" s="2" t="str">
        <x:v>가상 고객안내팀</x:v>
      </x:c>
      <x:c r="E227" s="2" t="str">
        <x:v>안내자료제작</x:v>
      </x:c>
      <x:c r="F227" s="2" t="str">
        <x:v>제한경쟁</x:v>
      </x:c>
      <x:c r="G227" s="2" t="str">
        <x:v>안내자료제작 가상 과제 222</x:v>
      </x:c>
      <x:c r="H227" s="2" t="str">
        <x:v>가상업체06</x:v>
      </x:c>
      <x:c r="I227" s="5" t="n">
        <x:v>70000000</x:v>
      </x:c>
      <x:c r="J227" s="2" t="str">
        <x:v>완료</x:v>
      </x:c>
      <x:c r="K227" s="2" t="n">
        <x:v>3</x:v>
      </x:c>
      <x:c r="L227" s="2" t="str">
        <x:v>교육용 가상자료</x:v>
      </x:c>
    </x:row>
    <x:row r="228" ht="27" customHeight="1">
      <x:c r="A228" s="2" t="str">
        <x:v>SIM-2025-0223</x:v>
      </x:c>
      <x:c r="B228" s="2" t="str">
        <x:v>2025-09-01</x:v>
      </x:c>
      <x:c r="C228" s="2" t="n">
        <x:v>9</x:v>
      </x:c>
      <x:c r="D228" s="2" t="str">
        <x:v>가상 업무교육팀</x:v>
      </x:c>
      <x:c r="E228" s="2" t="str">
        <x:v>업무교육</x:v>
      </x:c>
      <x:c r="F228" s="2" t="str">
        <x:v>일반경쟁</x:v>
      </x:c>
      <x:c r="G228" s="2" t="str">
        <x:v>업무교육 가상 과제 223</x:v>
      </x:c>
      <x:c r="H228" s="2" t="str">
        <x:v>가상업체07</x:v>
      </x:c>
      <x:c r="I228" s="5" t="n">
        <x:v>75000000</x:v>
      </x:c>
      <x:c r="J228" s="2" t="str">
        <x:v>완료</x:v>
      </x:c>
      <x:c r="K228" s="2" t="n">
        <x:v>2</x:v>
      </x:c>
      <x:c r="L228" s="2" t="str">
        <x:v>교육용 가상자료</x:v>
      </x:c>
    </x:row>
    <x:row r="229" ht="27" customHeight="1">
      <x:c r="A229" s="2" t="str">
        <x:v>SIM-2025-0224</x:v>
      </x:c>
      <x:c r="B229" s="2" t="str">
        <x:v>2025-09-14</x:v>
      </x:c>
      <x:c r="C229" s="2" t="n">
        <x:v>9</x:v>
      </x:c>
      <x:c r="D229" s="2" t="str">
        <x:v>가상 사업관리팀</x:v>
      </x:c>
      <x:c r="E229" s="2" t="str">
        <x:v>기록정비지원</x:v>
      </x:c>
      <x:c r="F229" s="2" t="str">
        <x:v>제한경쟁</x:v>
      </x:c>
      <x:c r="G229" s="2" t="str">
        <x:v>기록정비지원 가상 과제 224</x:v>
      </x:c>
      <x:c r="H229" s="2" t="str">
        <x:v>가상업체08</x:v>
      </x:c>
      <x:c r="I229" s="5" t="n">
        <x:v>34000000</x:v>
      </x:c>
      <x:c r="J229" s="2" t="str">
        <x:v>완료</x:v>
      </x:c>
      <x:c r="K229" s="2" t="n">
        <x:v>0</x:v>
      </x:c>
      <x:c r="L229" s="2" t="str">
        <x:v>교육용 가상자료</x:v>
      </x:c>
    </x:row>
    <x:row r="230" ht="27" customHeight="1">
      <x:c r="A230" s="2" t="str">
        <x:v>SIM-2025-0225</x:v>
      </x:c>
      <x:c r="B230" s="2" t="str">
        <x:v>2025-09-12</x:v>
      </x:c>
      <x:c r="C230" s="2" t="n">
        <x:v>9</x:v>
      </x:c>
      <x:c r="D230" s="2" t="str">
        <x:v>가상 자료정비팀</x:v>
      </x:c>
      <x:c r="E230" s="2" t="str">
        <x:v>설비점검지원</x:v>
      </x:c>
      <x:c r="F230" s="2" t="str">
        <x:v>일반경쟁</x:v>
      </x:c>
      <x:c r="G230" s="2" t="str">
        <x:v>설비점검지원 가상 과제 225</x:v>
      </x:c>
      <x:c r="H230" s="2" t="str">
        <x:v>가상업체09</x:v>
      </x:c>
      <x:c r="I230" s="5" t="n">
        <x:v>73000000</x:v>
      </x:c>
      <x:c r="J230" s="2" t="str">
        <x:v>완료</x:v>
      </x:c>
      <x:c r="K230" s="2" t="n">
        <x:v>3</x:v>
      </x:c>
      <x:c r="L230" s="2" t="str">
        <x:v>교육용 가상자료</x:v>
      </x:c>
    </x:row>
    <x:row r="231" ht="27" customHeight="1">
      <x:c r="A231" s="2" t="str">
        <x:v>SIM-2025-0226</x:v>
      </x:c>
      <x:c r="B231" s="2" t="str">
        <x:v>2025-10-11</x:v>
      </x:c>
      <x:c r="C231" s="2" t="n">
        <x:v>10</x:v>
      </x:c>
      <x:c r="D231" s="2" t="str">
        <x:v>가상 설비지원팀</x:v>
      </x:c>
      <x:c r="E231" s="2" t="str">
        <x:v>안내자료제작</x:v>
      </x:c>
      <x:c r="F231" s="2" t="str">
        <x:v>제한경쟁</x:v>
      </x:c>
      <x:c r="G231" s="2" t="str">
        <x:v>안내자료제작 가상 과제 226</x:v>
      </x:c>
      <x:c r="H231" s="2" t="str">
        <x:v>가상업체10</x:v>
      </x:c>
      <x:c r="I231" s="5" t="n">
        <x:v>30000000</x:v>
      </x:c>
      <x:c r="J231" s="2" t="str">
        <x:v>완료</x:v>
      </x:c>
      <x:c r="K231" s="2" t="n">
        <x:v>1</x:v>
      </x:c>
      <x:c r="L231" s="2" t="str">
        <x:v>교육용 가상자료</x:v>
      </x:c>
    </x:row>
    <x:row r="232" ht="27" customHeight="1">
      <x:c r="A232" s="2" t="str">
        <x:v>SIM-2025-0227</x:v>
      </x:c>
      <x:c r="B232" s="2" t="str">
        <x:v>2025-10-12</x:v>
      </x:c>
      <x:c r="C232" s="2" t="n">
        <x:v>10</x:v>
      </x:c>
      <x:c r="D232" s="2" t="str">
        <x:v>가상 고객안내팀</x:v>
      </x:c>
      <x:c r="E232" s="2" t="str">
        <x:v>업무교육</x:v>
      </x:c>
      <x:c r="F232" s="2" t="str">
        <x:v>수의계약</x:v>
      </x:c>
      <x:c r="G232" s="2" t="str">
        <x:v>업무교육 가상 과제 227</x:v>
      </x:c>
      <x:c r="H232" s="2" t="str">
        <x:v>가상업체11</x:v>
      </x:c>
      <x:c r="I232" s="5" t="n">
        <x:v>36000000</x:v>
      </x:c>
      <x:c r="J232" s="2" t="str">
        <x:v>완료</x:v>
      </x:c>
      <x:c r="K232" s="2" t="n">
        <x:v>1</x:v>
      </x:c>
      <x:c r="L232" s="2" t="str">
        <x:v>교육용 가상자료</x:v>
      </x:c>
    </x:row>
    <x:row r="233" ht="27" customHeight="1">
      <x:c r="A233" s="2" t="str">
        <x:v>SIM-2025-0228</x:v>
      </x:c>
      <x:c r="B233" s="2" t="str">
        <x:v>2025-10-07</x:v>
      </x:c>
      <x:c r="C233" s="2" t="n">
        <x:v>10</x:v>
      </x:c>
      <x:c r="D233" s="2" t="str">
        <x:v>가상 업무교육팀</x:v>
      </x:c>
      <x:c r="E233" s="2" t="str">
        <x:v>기록정비지원</x:v>
      </x:c>
      <x:c r="F233" s="2" t="str">
        <x:v>제한경쟁</x:v>
      </x:c>
      <x:c r="G233" s="2" t="str">
        <x:v>기록정비지원 가상 과제 228</x:v>
      </x:c>
      <x:c r="H233" s="2" t="str">
        <x:v>가상업체12</x:v>
      </x:c>
      <x:c r="I233" s="5" t="n">
        <x:v>39000000</x:v>
      </x:c>
      <x:c r="J233" s="2" t="str">
        <x:v>완료</x:v>
      </x:c>
      <x:c r="K233" s="2" t="n">
        <x:v>0</x:v>
      </x:c>
      <x:c r="L233" s="2" t="str">
        <x:v>교육용 가상자료</x:v>
      </x:c>
    </x:row>
    <x:row r="234" ht="27" customHeight="1">
      <x:c r="A234" s="2" t="str">
        <x:v>SIM-2025-0229</x:v>
      </x:c>
      <x:c r="B234" s="2" t="str">
        <x:v>2025-10-26</x:v>
      </x:c>
      <x:c r="C234" s="2" t="n">
        <x:v>10</x:v>
      </x:c>
      <x:c r="D234" s="2" t="str">
        <x:v>가상 사업관리팀</x:v>
      </x:c>
      <x:c r="E234" s="2" t="str">
        <x:v>설비점검지원</x:v>
      </x:c>
      <x:c r="F234" s="2" t="str">
        <x:v>일반경쟁</x:v>
      </x:c>
      <x:c r="G234" s="2" t="str">
        <x:v>설비점검지원 가상 과제 229</x:v>
      </x:c>
      <x:c r="H234" s="2" t="str">
        <x:v>가상업체13</x:v>
      </x:c>
      <x:c r="I234" s="5" t="n">
        <x:v>20000000</x:v>
      </x:c>
      <x:c r="J234" s="2" t="str">
        <x:v>완료</x:v>
      </x:c>
      <x:c r="K234" s="2" t="n">
        <x:v>0</x:v>
      </x:c>
      <x:c r="L234" s="2" t="str">
        <x:v>교육용 가상자료</x:v>
      </x:c>
    </x:row>
    <x:row r="235" ht="27" customHeight="1">
      <x:c r="A235" s="2" t="str">
        <x:v>SIM-2025-0230</x:v>
      </x:c>
      <x:c r="B235" s="2" t="str">
        <x:v>2025-10-23</x:v>
      </x:c>
      <x:c r="C235" s="2" t="n">
        <x:v>10</x:v>
      </x:c>
      <x:c r="D235" s="2" t="str">
        <x:v>가상 자료정비팀</x:v>
      </x:c>
      <x:c r="E235" s="2" t="str">
        <x:v>안내자료제작</x:v>
      </x:c>
      <x:c r="F235" s="2" t="str">
        <x:v>제한경쟁</x:v>
      </x:c>
      <x:c r="G235" s="2" t="str">
        <x:v>안내자료제작 가상 과제 230</x:v>
      </x:c>
      <x:c r="H235" s="2" t="str">
        <x:v>가상업체14</x:v>
      </x:c>
      <x:c r="I235" s="5" t="n">
        <x:v>51000000</x:v>
      </x:c>
      <x:c r="J235" s="2" t="str">
        <x:v>완료</x:v>
      </x:c>
      <x:c r="K235" s="2" t="n">
        <x:v>2</x:v>
      </x:c>
      <x:c r="L235" s="2" t="str">
        <x:v>교육용 가상자료</x:v>
      </x:c>
    </x:row>
    <x:row r="236" ht="27" customHeight="1">
      <x:c r="A236" s="2" t="str">
        <x:v>SIM-2025-0231</x:v>
      </x:c>
      <x:c r="B236" s="2" t="str">
        <x:v>2025-10-09</x:v>
      </x:c>
      <x:c r="C236" s="2" t="n">
        <x:v>10</x:v>
      </x:c>
      <x:c r="D236" s="2" t="str">
        <x:v>가상 설비지원팀</x:v>
      </x:c>
      <x:c r="E236" s="2" t="str">
        <x:v>업무교육</x:v>
      </x:c>
      <x:c r="F236" s="2" t="str">
        <x:v>수의계약</x:v>
      </x:c>
      <x:c r="G236" s="2" t="str">
        <x:v>업무교육 가상 과제 231</x:v>
      </x:c>
      <x:c r="H236" s="2" t="str">
        <x:v>가상업체15</x:v>
      </x:c>
      <x:c r="I236" s="5" t="n">
        <x:v>56000000</x:v>
      </x:c>
      <x:c r="J236" s="2" t="str">
        <x:v>완료</x:v>
      </x:c>
      <x:c r="K236" s="2" t="n">
        <x:v>3</x:v>
      </x:c>
      <x:c r="L236" s="2" t="str">
        <x:v>교육용 가상자료</x:v>
      </x:c>
    </x:row>
    <x:row r="237" ht="27" customHeight="1">
      <x:c r="A237" s="2" t="str">
        <x:v>SIM-2025-0232</x:v>
      </x:c>
      <x:c r="B237" s="2" t="str">
        <x:v>2025-10-17</x:v>
      </x:c>
      <x:c r="C237" s="2" t="n">
        <x:v>10</x:v>
      </x:c>
      <x:c r="D237" s="2" t="str">
        <x:v>가상 고객안내팀</x:v>
      </x:c>
      <x:c r="E237" s="2" t="str">
        <x:v>기록정비지원</x:v>
      </x:c>
      <x:c r="F237" s="2" t="str">
        <x:v>제한경쟁</x:v>
      </x:c>
      <x:c r="G237" s="2" t="str">
        <x:v>기록정비지원 가상 과제 232</x:v>
      </x:c>
      <x:c r="H237" s="2" t="str">
        <x:v>가상업체16</x:v>
      </x:c>
      <x:c r="I237" s="5" t="n">
        <x:v>46000000</x:v>
      </x:c>
      <x:c r="J237" s="2" t="str">
        <x:v>완료</x:v>
      </x:c>
      <x:c r="K237" s="2" t="n">
        <x:v>3</x:v>
      </x:c>
      <x:c r="L237" s="2" t="str">
        <x:v>교육용 가상자료</x:v>
      </x:c>
    </x:row>
    <x:row r="238" ht="27" customHeight="1">
      <x:c r="A238" s="2" t="str">
        <x:v>SIM-2025-0233</x:v>
      </x:c>
      <x:c r="B238" s="2" t="str">
        <x:v>2025-10-05</x:v>
      </x:c>
      <x:c r="C238" s="2" t="n">
        <x:v>10</x:v>
      </x:c>
      <x:c r="D238" s="2" t="str">
        <x:v>가상 업무교육팀</x:v>
      </x:c>
      <x:c r="E238" s="2" t="str">
        <x:v>설비점검지원</x:v>
      </x:c>
      <x:c r="F238" s="2" t="str">
        <x:v>일반경쟁</x:v>
      </x:c>
      <x:c r="G238" s="2" t="str">
        <x:v>설비점검지원 가상 과제 233</x:v>
      </x:c>
      <x:c r="H238" s="2" t="str">
        <x:v>가상업체17</x:v>
      </x:c>
      <x:c r="I238" s="5" t="n">
        <x:v>36000000</x:v>
      </x:c>
      <x:c r="J238" s="2" t="str">
        <x:v>완료</x:v>
      </x:c>
      <x:c r="K238" s="2" t="n">
        <x:v>2</x:v>
      </x:c>
      <x:c r="L238" s="2" t="str">
        <x:v>교육용 가상자료</x:v>
      </x:c>
    </x:row>
    <x:row r="239" ht="27" customHeight="1">
      <x:c r="A239" s="2" t="str">
        <x:v>SIM-2025-0234</x:v>
      </x:c>
      <x:c r="B239" s="2" t="str">
        <x:v>2025-10-26</x:v>
      </x:c>
      <x:c r="C239" s="2" t="n">
        <x:v>10</x:v>
      </x:c>
      <x:c r="D239" s="2" t="str">
        <x:v>가상 사업관리팀</x:v>
      </x:c>
      <x:c r="E239" s="2" t="str">
        <x:v>안내자료제작</x:v>
      </x:c>
      <x:c r="F239" s="2" t="str">
        <x:v>수의계약</x:v>
      </x:c>
      <x:c r="G239" s="2" t="str">
        <x:v>안내자료제작 가상 과제 234</x:v>
      </x:c>
      <x:c r="H239" s="2" t="str">
        <x:v>가상업체18</x:v>
      </x:c>
      <x:c r="I239" s="5" t="n">
        <x:v>33000000</x:v>
      </x:c>
      <x:c r="J239" s="2" t="str">
        <x:v>완료</x:v>
      </x:c>
      <x:c r="K239" s="2" t="n">
        <x:v>0</x:v>
      </x:c>
      <x:c r="L239" s="2" t="str">
        <x:v>교육용 가상자료</x:v>
      </x:c>
    </x:row>
    <x:row r="240" ht="27" customHeight="1">
      <x:c r="A240" s="2" t="str">
        <x:v>SIM-2025-0235</x:v>
      </x:c>
      <x:c r="B240" s="2" t="str">
        <x:v>2025-10-25</x:v>
      </x:c>
      <x:c r="C240" s="2" t="n">
        <x:v>10</x:v>
      </x:c>
      <x:c r="D240" s="2" t="str">
        <x:v>가상 자료정비팀</x:v>
      </x:c>
      <x:c r="E240" s="2" t="str">
        <x:v>업무교육</x:v>
      </x:c>
      <x:c r="F240" s="2" t="str">
        <x:v>일반경쟁</x:v>
      </x:c>
      <x:c r="G240" s="2" t="str">
        <x:v>업무교육 가상 과제 235</x:v>
      </x:c>
      <x:c r="H240" s="2" t="str">
        <x:v>가상업체19</x:v>
      </x:c>
      <x:c r="I240" s="5" t="n">
        <x:v>59000000</x:v>
      </x:c>
      <x:c r="J240" s="2" t="str">
        <x:v>완료</x:v>
      </x:c>
      <x:c r="K240" s="2" t="n">
        <x:v>3</x:v>
      </x:c>
      <x:c r="L240" s="2" t="str">
        <x:v>교육용 가상자료</x:v>
      </x:c>
    </x:row>
    <x:row r="241" ht="27" customHeight="1">
      <x:c r="A241" s="2" t="str">
        <x:v>SIM-2025-0236</x:v>
      </x:c>
      <x:c r="B241" s="2" t="str">
        <x:v>2025-10-21</x:v>
      </x:c>
      <x:c r="C241" s="2" t="n">
        <x:v>10</x:v>
      </x:c>
      <x:c r="D241" s="2" t="str">
        <x:v>가상 설비지원팀</x:v>
      </x:c>
      <x:c r="E241" s="2" t="str">
        <x:v>기록정비지원</x:v>
      </x:c>
      <x:c r="F241" s="2" t="str">
        <x:v>수의계약</x:v>
      </x:c>
      <x:c r="G241" s="2" t="str">
        <x:v>기록정비지원 가상 과제 236</x:v>
      </x:c>
      <x:c r="H241" s="2" t="str">
        <x:v>가상업체20</x:v>
      </x:c>
      <x:c r="I241" s="5" t="n">
        <x:v>30000000</x:v>
      </x:c>
      <x:c r="J241" s="2" t="str">
        <x:v>완료</x:v>
      </x:c>
      <x:c r="K241" s="2" t="n">
        <x:v>1</x:v>
      </x:c>
      <x:c r="L241" s="2" t="str">
        <x:v>교육용 가상자료</x:v>
      </x:c>
    </x:row>
    <x:row r="242" ht="27" customHeight="1">
      <x:c r="A242" s="2" t="str">
        <x:v>SIM-2025-0237</x:v>
      </x:c>
      <x:c r="B242" s="2" t="str">
        <x:v>2025-10-13</x:v>
      </x:c>
      <x:c r="C242" s="2" t="n">
        <x:v>10</x:v>
      </x:c>
      <x:c r="D242" s="2" t="str">
        <x:v>가상 고객안내팀</x:v>
      </x:c>
      <x:c r="E242" s="2" t="str">
        <x:v>설비점검지원</x:v>
      </x:c>
      <x:c r="F242" s="2" t="str">
        <x:v>수의계약</x:v>
      </x:c>
      <x:c r="G242" s="2" t="str">
        <x:v>설비점검지원 가상 과제 237</x:v>
      </x:c>
      <x:c r="H242" s="2" t="str">
        <x:v>가상업체21</x:v>
      </x:c>
      <x:c r="I242" s="5" t="n">
        <x:v>54000000</x:v>
      </x:c>
      <x:c r="J242" s="2" t="str">
        <x:v>완료</x:v>
      </x:c>
      <x:c r="K242" s="2" t="n">
        <x:v>0</x:v>
      </x:c>
      <x:c r="L242" s="2" t="str">
        <x:v>교육용 가상자료</x:v>
      </x:c>
    </x:row>
    <x:row r="243" ht="27" customHeight="1">
      <x:c r="A243" s="2" t="str">
        <x:v>SIM-2025-0238</x:v>
      </x:c>
      <x:c r="B243" s="2" t="str">
        <x:v>2025-10-18</x:v>
      </x:c>
      <x:c r="C243" s="2" t="n">
        <x:v>10</x:v>
      </x:c>
      <x:c r="D243" s="2" t="str">
        <x:v>가상 업무교육팀</x:v>
      </x:c>
      <x:c r="E243" s="2" t="str">
        <x:v>안내자료제작</x:v>
      </x:c>
      <x:c r="F243" s="2" t="str">
        <x:v>제한경쟁</x:v>
      </x:c>
      <x:c r="G243" s="2" t="str">
        <x:v>안내자료제작 가상 과제 238</x:v>
      </x:c>
      <x:c r="H243" s="2" t="str">
        <x:v>가상업체22</x:v>
      </x:c>
      <x:c r="I243" s="5" t="n">
        <x:v>35000000</x:v>
      </x:c>
      <x:c r="J243" s="2" t="str">
        <x:v>완료</x:v>
      </x:c>
      <x:c r="K243" s="2" t="n">
        <x:v>2</x:v>
      </x:c>
      <x:c r="L243" s="2" t="str">
        <x:v>교육용 가상자료</x:v>
      </x:c>
    </x:row>
    <x:row r="244" ht="27" customHeight="1">
      <x:c r="A244" s="2" t="str">
        <x:v>SIM-2025-0239</x:v>
      </x:c>
      <x:c r="B244" s="2" t="str">
        <x:v>2025-10-14</x:v>
      </x:c>
      <x:c r="C244" s="2" t="n">
        <x:v>10</x:v>
      </x:c>
      <x:c r="D244" s="2" t="str">
        <x:v>가상 사업관리팀</x:v>
      </x:c>
      <x:c r="E244" s="2" t="str">
        <x:v>업무교육</x:v>
      </x:c>
      <x:c r="F244" s="2" t="str">
        <x:v>제한경쟁</x:v>
      </x:c>
      <x:c r="G244" s="2" t="str">
        <x:v>업무교육 가상 과제 239</x:v>
      </x:c>
      <x:c r="H244" s="2" t="str">
        <x:v>가상업체23</x:v>
      </x:c>
      <x:c r="I244" s="5" t="n">
        <x:v>75000000</x:v>
      </x:c>
      <x:c r="J244" s="2" t="str">
        <x:v>완료</x:v>
      </x:c>
      <x:c r="K244" s="2" t="n">
        <x:v>1</x:v>
      </x:c>
      <x:c r="L244" s="2" t="str">
        <x:v>교육용 가상자료</x:v>
      </x:c>
    </x:row>
    <x:row r="245" ht="27" customHeight="1">
      <x:c r="A245" s="2" t="str">
        <x:v>SIM-2025-0240</x:v>
      </x:c>
      <x:c r="B245" s="2" t="str">
        <x:v>2025-10-06</x:v>
      </x:c>
      <x:c r="C245" s="2" t="n">
        <x:v>10</x:v>
      </x:c>
      <x:c r="D245" s="2" t="str">
        <x:v>가상 자료정비팀</x:v>
      </x:c>
      <x:c r="E245" s="2" t="str">
        <x:v>기록정비지원</x:v>
      </x:c>
      <x:c r="F245" s="2" t="str">
        <x:v>일반경쟁</x:v>
      </x:c>
      <x:c r="G245" s="2" t="str">
        <x:v>기록정비지원 가상 과제 240</x:v>
      </x:c>
      <x:c r="H245" s="2" t="str">
        <x:v>가상업체24</x:v>
      </x:c>
      <x:c r="I245" s="5" t="n">
        <x:v>71000000</x:v>
      </x:c>
      <x:c r="J245" s="2" t="str">
        <x:v>완료</x:v>
      </x:c>
      <x:c r="K245" s="2" t="n">
        <x:v>1</x:v>
      </x:c>
      <x:c r="L245" s="2" t="str">
        <x:v>교육용 가상자료</x:v>
      </x:c>
    </x:row>
    <x:row r="246" ht="27" customHeight="1">
      <x:c r="A246" s="2" t="str">
        <x:v>SIM-2025-0241</x:v>
      </x:c>
      <x:c r="B246" s="2" t="str">
        <x:v>2025-10-09</x:v>
      </x:c>
      <x:c r="C246" s="2" t="n">
        <x:v>10</x:v>
      </x:c>
      <x:c r="D246" s="2" t="str">
        <x:v>가상 설비지원팀</x:v>
      </x:c>
      <x:c r="E246" s="2" t="str">
        <x:v>설비점검지원</x:v>
      </x:c>
      <x:c r="F246" s="2" t="str">
        <x:v>제한경쟁</x:v>
      </x:c>
      <x:c r="G246" s="2" t="str">
        <x:v>설비점검지원 가상 과제 241</x:v>
      </x:c>
      <x:c r="H246" s="2" t="str">
        <x:v>가상업체01</x:v>
      </x:c>
      <x:c r="I246" s="5" t="n">
        <x:v>28000000</x:v>
      </x:c>
      <x:c r="J246" s="2" t="str">
        <x:v>완료</x:v>
      </x:c>
      <x:c r="K246" s="2" t="n">
        <x:v>1</x:v>
      </x:c>
      <x:c r="L246" s="2" t="str">
        <x:v>교육용 가상자료</x:v>
      </x:c>
    </x:row>
    <x:row r="247" ht="27" customHeight="1">
      <x:c r="A247" s="2" t="str">
        <x:v>SIM-2025-0242</x:v>
      </x:c>
      <x:c r="B247" s="2" t="str">
        <x:v>2025-10-20</x:v>
      </x:c>
      <x:c r="C247" s="2" t="n">
        <x:v>10</x:v>
      </x:c>
      <x:c r="D247" s="2" t="str">
        <x:v>가상 고객안내팀</x:v>
      </x:c>
      <x:c r="E247" s="2" t="str">
        <x:v>안내자료제작</x:v>
      </x:c>
      <x:c r="F247" s="2" t="str">
        <x:v>수의계약</x:v>
      </x:c>
      <x:c r="G247" s="2" t="str">
        <x:v>안내자료제작 가상 과제 242</x:v>
      </x:c>
      <x:c r="H247" s="2" t="str">
        <x:v>가상업체02</x:v>
      </x:c>
      <x:c r="I247" s="5" t="n">
        <x:v>43000000</x:v>
      </x:c>
      <x:c r="J247" s="2" t="str">
        <x:v>완료</x:v>
      </x:c>
      <x:c r="K247" s="2" t="n">
        <x:v>0</x:v>
      </x:c>
      <x:c r="L247" s="2" t="str">
        <x:v>교육용 가상자료</x:v>
      </x:c>
    </x:row>
    <x:row r="248" ht="27" customHeight="1">
      <x:c r="A248" s="2" t="str">
        <x:v>SIM-2025-0243</x:v>
      </x:c>
      <x:c r="B248" s="2" t="str">
        <x:v>2025-10-12</x:v>
      </x:c>
      <x:c r="C248" s="2" t="n">
        <x:v>10</x:v>
      </x:c>
      <x:c r="D248" s="2" t="str">
        <x:v>가상 업무교육팀</x:v>
      </x:c>
      <x:c r="E248" s="2" t="str">
        <x:v>업무교육</x:v>
      </x:c>
      <x:c r="F248" s="2" t="str">
        <x:v>제한경쟁</x:v>
      </x:c>
      <x:c r="G248" s="2" t="str">
        <x:v>업무교육 가상 과제 243</x:v>
      </x:c>
      <x:c r="H248" s="2" t="str">
        <x:v>가상업체03</x:v>
      </x:c>
      <x:c r="I248" s="5" t="n">
        <x:v>71000000</x:v>
      </x:c>
      <x:c r="J248" s="2" t="str">
        <x:v>완료</x:v>
      </x:c>
      <x:c r="K248" s="2" t="n">
        <x:v>0</x:v>
      </x:c>
      <x:c r="L248" s="2" t="str">
        <x:v>교육용 가상자료</x:v>
      </x:c>
    </x:row>
    <x:row r="249" ht="27" customHeight="1">
      <x:c r="A249" s="2" t="str">
        <x:v>SIM-2025-0244</x:v>
      </x:c>
      <x:c r="B249" s="2" t="str">
        <x:v>2025-10-12</x:v>
      </x:c>
      <x:c r="C249" s="2" t="n">
        <x:v>10</x:v>
      </x:c>
      <x:c r="D249" s="2" t="str">
        <x:v>가상 사업관리팀</x:v>
      </x:c>
      <x:c r="E249" s="2" t="str">
        <x:v>기록정비지원</x:v>
      </x:c>
      <x:c r="F249" s="2" t="str">
        <x:v>수의계약</x:v>
      </x:c>
      <x:c r="G249" s="2" t="str">
        <x:v>기록정비지원 가상 과제 244</x:v>
      </x:c>
      <x:c r="H249" s="2" t="str">
        <x:v>가상업체04</x:v>
      </x:c>
      <x:c r="I249" s="5" t="n">
        <x:v>42000000</x:v>
      </x:c>
      <x:c r="J249" s="2" t="str">
        <x:v>완료</x:v>
      </x:c>
      <x:c r="K249" s="2" t="n">
        <x:v>2</x:v>
      </x:c>
      <x:c r="L249" s="2" t="str">
        <x:v>교육용 가상자료</x:v>
      </x:c>
    </x:row>
    <x:row r="250" ht="27" customHeight="1">
      <x:c r="A250" s="2" t="str">
        <x:v>SIM-2025-0245</x:v>
      </x:c>
      <x:c r="B250" s="2" t="str">
        <x:v>2025-10-11</x:v>
      </x:c>
      <x:c r="C250" s="2" t="n">
        <x:v>10</x:v>
      </x:c>
      <x:c r="D250" s="2" t="str">
        <x:v>가상 자료정비팀</x:v>
      </x:c>
      <x:c r="E250" s="2" t="str">
        <x:v>설비점검지원</x:v>
      </x:c>
      <x:c r="F250" s="2" t="str">
        <x:v>수의계약</x:v>
      </x:c>
      <x:c r="G250" s="2" t="str">
        <x:v>설비점검지원 가상 과제 245</x:v>
      </x:c>
      <x:c r="H250" s="2" t="str">
        <x:v>가상업체05</x:v>
      </x:c>
      <x:c r="I250" s="5" t="n">
        <x:v>41000000</x:v>
      </x:c>
      <x:c r="J250" s="2" t="str">
        <x:v>완료</x:v>
      </x:c>
      <x:c r="K250" s="2" t="n">
        <x:v>0</x:v>
      </x:c>
      <x:c r="L250" s="2" t="str">
        <x:v>교육용 가상자료</x:v>
      </x:c>
    </x:row>
    <x:row r="251" ht="27" customHeight="1">
      <x:c r="A251" s="2" t="str">
        <x:v>SIM-2025-0246</x:v>
      </x:c>
      <x:c r="B251" s="2" t="str">
        <x:v>2025-10-19</x:v>
      </x:c>
      <x:c r="C251" s="2" t="n">
        <x:v>10</x:v>
      </x:c>
      <x:c r="D251" s="2" t="str">
        <x:v>가상 설비지원팀</x:v>
      </x:c>
      <x:c r="E251" s="2" t="str">
        <x:v>안내자료제작</x:v>
      </x:c>
      <x:c r="F251" s="2" t="str">
        <x:v>제한경쟁</x:v>
      </x:c>
      <x:c r="G251" s="2" t="str">
        <x:v>안내자료제작 가상 과제 246</x:v>
      </x:c>
      <x:c r="H251" s="2" t="str">
        <x:v>가상업체06</x:v>
      </x:c>
      <x:c r="I251" s="5" t="n">
        <x:v>44000000</x:v>
      </x:c>
      <x:c r="J251" s="2" t="str">
        <x:v>완료</x:v>
      </x:c>
      <x:c r="K251" s="2" t="n">
        <x:v>1</x:v>
      </x:c>
      <x:c r="L251" s="2" t="str">
        <x:v>교육용 가상자료</x:v>
      </x:c>
    </x:row>
    <x:row r="252" ht="27" customHeight="1">
      <x:c r="A252" s="2" t="str">
        <x:v>SIM-2025-0247</x:v>
      </x:c>
      <x:c r="B252" s="2" t="str">
        <x:v>2025-10-22</x:v>
      </x:c>
      <x:c r="C252" s="2" t="n">
        <x:v>10</x:v>
      </x:c>
      <x:c r="D252" s="2" t="str">
        <x:v>가상 고객안내팀</x:v>
      </x:c>
      <x:c r="E252" s="2" t="str">
        <x:v>업무교육</x:v>
      </x:c>
      <x:c r="F252" s="2" t="str">
        <x:v>일반경쟁</x:v>
      </x:c>
      <x:c r="G252" s="2" t="str">
        <x:v>업무교육 가상 과제 247</x:v>
      </x:c>
      <x:c r="H252" s="2" t="str">
        <x:v>가상업체07</x:v>
      </x:c>
      <x:c r="I252" s="5" t="n">
        <x:v>45000000</x:v>
      </x:c>
      <x:c r="J252" s="2" t="str">
        <x:v>완료</x:v>
      </x:c>
      <x:c r="K252" s="2" t="n">
        <x:v>2</x:v>
      </x:c>
      <x:c r="L252" s="2" t="str">
        <x:v>교육용 가상자료</x:v>
      </x:c>
    </x:row>
    <x:row r="253" ht="27" customHeight="1">
      <x:c r="A253" s="2" t="str">
        <x:v>SIM-2025-0248</x:v>
      </x:c>
      <x:c r="B253" s="2" t="str">
        <x:v>2025-10-04</x:v>
      </x:c>
      <x:c r="C253" s="2" t="n">
        <x:v>10</x:v>
      </x:c>
      <x:c r="D253" s="2" t="str">
        <x:v>가상 업무교육팀</x:v>
      </x:c>
      <x:c r="E253" s="2" t="str">
        <x:v>기록정비지원</x:v>
      </x:c>
      <x:c r="F253" s="2" t="str">
        <x:v>일반경쟁</x:v>
      </x:c>
      <x:c r="G253" s="2" t="str">
        <x:v>기록정비지원 가상 과제 248</x:v>
      </x:c>
      <x:c r="H253" s="2" t="str">
        <x:v>가상업체08</x:v>
      </x:c>
      <x:c r="I253" s="5" t="n">
        <x:v>38000000</x:v>
      </x:c>
      <x:c r="J253" s="2" t="str">
        <x:v>완료</x:v>
      </x:c>
      <x:c r="K253" s="2" t="n">
        <x:v>2</x:v>
      </x:c>
      <x:c r="L253" s="2" t="str">
        <x:v>교육용 가상자료</x:v>
      </x:c>
    </x:row>
    <x:row r="254" ht="27" customHeight="1">
      <x:c r="A254" s="2" t="str">
        <x:v>SIM-2025-0249</x:v>
      </x:c>
      <x:c r="B254" s="2" t="str">
        <x:v>2025-10-10</x:v>
      </x:c>
      <x:c r="C254" s="2" t="n">
        <x:v>10</x:v>
      </x:c>
      <x:c r="D254" s="2" t="str">
        <x:v>가상 사업관리팀</x:v>
      </x:c>
      <x:c r="E254" s="2" t="str">
        <x:v>설비점검지원</x:v>
      </x:c>
      <x:c r="F254" s="2" t="str">
        <x:v>수의계약</x:v>
      </x:c>
      <x:c r="G254" s="2" t="str">
        <x:v>설비점검지원 가상 과제 249</x:v>
      </x:c>
      <x:c r="H254" s="2" t="str">
        <x:v>가상업체09</x:v>
      </x:c>
      <x:c r="I254" s="5" t="n">
        <x:v>14000000</x:v>
      </x:c>
      <x:c r="J254" s="2" t="str">
        <x:v>완료</x:v>
      </x:c>
      <x:c r="K254" s="2" t="n">
        <x:v>2</x:v>
      </x:c>
      <x:c r="L254" s="2" t="str">
        <x:v>교육용 가상자료</x:v>
      </x:c>
    </x:row>
    <x:row r="255" ht="27" customHeight="1">
      <x:c r="A255" s="2" t="str">
        <x:v>SIM-2025-0250</x:v>
      </x:c>
      <x:c r="B255" s="2" t="str">
        <x:v>2025-10-24</x:v>
      </x:c>
      <x:c r="C255" s="2" t="n">
        <x:v>10</x:v>
      </x:c>
      <x:c r="D255" s="2" t="str">
        <x:v>가상 자료정비팀</x:v>
      </x:c>
      <x:c r="E255" s="2" t="str">
        <x:v>안내자료제작</x:v>
      </x:c>
      <x:c r="F255" s="2" t="str">
        <x:v>제한경쟁</x:v>
      </x:c>
      <x:c r="G255" s="2" t="str">
        <x:v>안내자료제작 가상 과제 250</x:v>
      </x:c>
      <x:c r="H255" s="2" t="str">
        <x:v>가상업체10</x:v>
      </x:c>
      <x:c r="I255" s="5" t="n">
        <x:v>75000000</x:v>
      </x:c>
      <x:c r="J255" s="2" t="str">
        <x:v>완료</x:v>
      </x:c>
      <x:c r="K255" s="2" t="n">
        <x:v>2</x:v>
      </x:c>
      <x:c r="L255" s="2" t="str">
        <x:v>교육용 가상자료</x:v>
      </x:c>
    </x:row>
    <x:row r="256" ht="27" customHeight="1">
      <x:c r="A256" s="2" t="str">
        <x:v>SIM-2025-0251</x:v>
      </x:c>
      <x:c r="B256" s="2" t="str">
        <x:v>2025-11-25</x:v>
      </x:c>
      <x:c r="C256" s="2" t="n">
        <x:v>11</x:v>
      </x:c>
      <x:c r="D256" s="2" t="str">
        <x:v>가상 설비지원팀</x:v>
      </x:c>
      <x:c r="E256" s="2" t="str">
        <x:v>업무교육</x:v>
      </x:c>
      <x:c r="F256" s="2" t="str">
        <x:v>수의계약</x:v>
      </x:c>
      <x:c r="G256" s="2" t="str">
        <x:v>업무교육 가상 과제 251</x:v>
      </x:c>
      <x:c r="H256" s="2" t="str">
        <x:v>가상업체11</x:v>
      </x:c>
      <x:c r="I256" s="5" t="n">
        <x:v>26000000</x:v>
      </x:c>
      <x:c r="J256" s="2" t="str">
        <x:v>완료</x:v>
      </x:c>
      <x:c r="K256" s="2" t="n">
        <x:v>0</x:v>
      </x:c>
      <x:c r="L256" s="2" t="str">
        <x:v>교육용 가상자료</x:v>
      </x:c>
    </x:row>
    <x:row r="257" ht="27" customHeight="1">
      <x:c r="A257" s="2" t="str">
        <x:v>SIM-2025-0252</x:v>
      </x:c>
      <x:c r="B257" s="2" t="str">
        <x:v>2025-11-24</x:v>
      </x:c>
      <x:c r="C257" s="2" t="n">
        <x:v>11</x:v>
      </x:c>
      <x:c r="D257" s="2" t="str">
        <x:v>가상 고객안내팀</x:v>
      </x:c>
      <x:c r="E257" s="2" t="str">
        <x:v>기록정비지원</x:v>
      </x:c>
      <x:c r="F257" s="2" t="str">
        <x:v>일반경쟁</x:v>
      </x:c>
      <x:c r="G257" s="2" t="str">
        <x:v>기록정비지원 가상 과제 252</x:v>
      </x:c>
      <x:c r="H257" s="2" t="str">
        <x:v>가상업체12</x:v>
      </x:c>
      <x:c r="I257" s="5" t="n">
        <x:v>72000000</x:v>
      </x:c>
      <x:c r="J257" s="2" t="str">
        <x:v>완료</x:v>
      </x:c>
      <x:c r="K257" s="2" t="n">
        <x:v>1</x:v>
      </x:c>
      <x:c r="L257" s="2" t="str">
        <x:v>교육용 가상자료</x:v>
      </x:c>
    </x:row>
    <x:row r="258" ht="27" customHeight="1">
      <x:c r="A258" s="2" t="str">
        <x:v>SIM-2025-0253</x:v>
      </x:c>
      <x:c r="B258" s="2" t="str">
        <x:v>2025-11-01</x:v>
      </x:c>
      <x:c r="C258" s="2" t="n">
        <x:v>11</x:v>
      </x:c>
      <x:c r="D258" s="2" t="str">
        <x:v>가상 업무교육팀</x:v>
      </x:c>
      <x:c r="E258" s="2" t="str">
        <x:v>설비점검지원</x:v>
      </x:c>
      <x:c r="F258" s="2" t="str">
        <x:v>일반경쟁</x:v>
      </x:c>
      <x:c r="G258" s="2" t="str">
        <x:v>설비점검지원 가상 과제 253</x:v>
      </x:c>
      <x:c r="H258" s="2" t="str">
        <x:v>가상업체13</x:v>
      </x:c>
      <x:c r="I258" s="5" t="n">
        <x:v>73000000</x:v>
      </x:c>
      <x:c r="J258" s="2" t="str">
        <x:v>완료</x:v>
      </x:c>
      <x:c r="K258" s="2" t="n">
        <x:v>1</x:v>
      </x:c>
      <x:c r="L258" s="2" t="str">
        <x:v>교육용 가상자료</x:v>
      </x:c>
    </x:row>
    <x:row r="259" ht="27" customHeight="1">
      <x:c r="A259" s="2" t="str">
        <x:v>SIM-2025-0254</x:v>
      </x:c>
      <x:c r="B259" s="2" t="str">
        <x:v>2025-11-15</x:v>
      </x:c>
      <x:c r="C259" s="2" t="n">
        <x:v>11</x:v>
      </x:c>
      <x:c r="D259" s="2" t="str">
        <x:v>가상 사업관리팀</x:v>
      </x:c>
      <x:c r="E259" s="2" t="str">
        <x:v>안내자료제작</x:v>
      </x:c>
      <x:c r="F259" s="2" t="str">
        <x:v>일반경쟁</x:v>
      </x:c>
      <x:c r="G259" s="2" t="str">
        <x:v>안내자료제작 가상 과제 254</x:v>
      </x:c>
      <x:c r="H259" s="2" t="str">
        <x:v>가상업체14</x:v>
      </x:c>
      <x:c r="I259" s="5" t="n">
        <x:v>13000000</x:v>
      </x:c>
      <x:c r="J259" s="2" t="str">
        <x:v>완료</x:v>
      </x:c>
      <x:c r="K259" s="2" t="n">
        <x:v>1</x:v>
      </x:c>
      <x:c r="L259" s="2" t="str">
        <x:v>교육용 가상자료</x:v>
      </x:c>
    </x:row>
    <x:row r="260" ht="27" customHeight="1">
      <x:c r="A260" s="2" t="str">
        <x:v>SIM-2025-0255</x:v>
      </x:c>
      <x:c r="B260" s="2" t="str">
        <x:v>2025-11-24</x:v>
      </x:c>
      <x:c r="C260" s="2" t="n">
        <x:v>11</x:v>
      </x:c>
      <x:c r="D260" s="2" t="str">
        <x:v>가상 자료정비팀</x:v>
      </x:c>
      <x:c r="E260" s="2" t="str">
        <x:v>업무교육</x:v>
      </x:c>
      <x:c r="F260" s="2" t="str">
        <x:v>일반경쟁</x:v>
      </x:c>
      <x:c r="G260" s="2" t="str">
        <x:v>업무교육 가상 과제 255</x:v>
      </x:c>
      <x:c r="H260" s="2" t="str">
        <x:v>가상업체15</x:v>
      </x:c>
      <x:c r="I260" s="5" t="n">
        <x:v>16000000</x:v>
      </x:c>
      <x:c r="J260" s="2" t="str">
        <x:v>완료</x:v>
      </x:c>
      <x:c r="K260" s="2" t="n">
        <x:v>1</x:v>
      </x:c>
      <x:c r="L260" s="2" t="str">
        <x:v>교육용 가상자료</x:v>
      </x:c>
    </x:row>
    <x:row r="261" ht="27" customHeight="1">
      <x:c r="A261" s="2" t="str">
        <x:v>SIM-2025-0256</x:v>
      </x:c>
      <x:c r="B261" s="2" t="str">
        <x:v>2025-11-22</x:v>
      </x:c>
      <x:c r="C261" s="2" t="n">
        <x:v>11</x:v>
      </x:c>
      <x:c r="D261" s="2" t="str">
        <x:v>가상 설비지원팀</x:v>
      </x:c>
      <x:c r="E261" s="2" t="str">
        <x:v>기록정비지원</x:v>
      </x:c>
      <x:c r="F261" s="2" t="str">
        <x:v>제한경쟁</x:v>
      </x:c>
      <x:c r="G261" s="2" t="str">
        <x:v>기록정비지원 가상 과제 256</x:v>
      </x:c>
      <x:c r="H261" s="2" t="str">
        <x:v>가상업체16</x:v>
      </x:c>
      <x:c r="I261" s="5" t="n">
        <x:v>42000000</x:v>
      </x:c>
      <x:c r="J261" s="2" t="str">
        <x:v>완료</x:v>
      </x:c>
      <x:c r="K261" s="2" t="n">
        <x:v>0</x:v>
      </x:c>
      <x:c r="L261" s="2" t="str">
        <x:v>교육용 가상자료</x:v>
      </x:c>
    </x:row>
    <x:row r="262" ht="27" customHeight="1">
      <x:c r="A262" s="2" t="str">
        <x:v>SIM-2025-0257</x:v>
      </x:c>
      <x:c r="B262" s="2" t="str">
        <x:v>2025-11-05</x:v>
      </x:c>
      <x:c r="C262" s="2" t="n">
        <x:v>11</x:v>
      </x:c>
      <x:c r="D262" s="2" t="str">
        <x:v>가상 고객안내팀</x:v>
      </x:c>
      <x:c r="E262" s="2" t="str">
        <x:v>설비점검지원</x:v>
      </x:c>
      <x:c r="F262" s="2" t="str">
        <x:v>일반경쟁</x:v>
      </x:c>
      <x:c r="G262" s="2" t="str">
        <x:v>설비점검지원 가상 과제 257</x:v>
      </x:c>
      <x:c r="H262" s="2" t="str">
        <x:v>가상업체17</x:v>
      </x:c>
      <x:c r="I262" s="5" t="n">
        <x:v>67000000</x:v>
      </x:c>
      <x:c r="J262" s="2" t="str">
        <x:v>완료</x:v>
      </x:c>
      <x:c r="K262" s="2" t="n">
        <x:v>2</x:v>
      </x:c>
      <x:c r="L262" s="2" t="str">
        <x:v>교육용 가상자료</x:v>
      </x:c>
    </x:row>
    <x:row r="263" ht="27" customHeight="1">
      <x:c r="A263" s="2" t="str">
        <x:v>SIM-2025-0258</x:v>
      </x:c>
      <x:c r="B263" s="2" t="str">
        <x:v>2025-11-01</x:v>
      </x:c>
      <x:c r="C263" s="2" t="n">
        <x:v>11</x:v>
      </x:c>
      <x:c r="D263" s="2" t="str">
        <x:v>가상 업무교육팀</x:v>
      </x:c>
      <x:c r="E263" s="2" t="str">
        <x:v>안내자료제작</x:v>
      </x:c>
      <x:c r="F263" s="2" t="str">
        <x:v>제한경쟁</x:v>
      </x:c>
      <x:c r="G263" s="2" t="str">
        <x:v>안내자료제작 가상 과제 258</x:v>
      </x:c>
      <x:c r="H263" s="2" t="str">
        <x:v>가상업체18</x:v>
      </x:c>
      <x:c r="I263" s="5" t="n">
        <x:v>63000000</x:v>
      </x:c>
      <x:c r="J263" s="2" t="str">
        <x:v>완료</x:v>
      </x:c>
      <x:c r="K263" s="2" t="n">
        <x:v>1</x:v>
      </x:c>
      <x:c r="L263" s="2" t="str">
        <x:v>교육용 가상자료</x:v>
      </x:c>
    </x:row>
    <x:row r="264" ht="27" customHeight="1">
      <x:c r="A264" s="2" t="str">
        <x:v>SIM-2025-0259</x:v>
      </x:c>
      <x:c r="B264" s="2" t="str">
        <x:v>2025-11-23</x:v>
      </x:c>
      <x:c r="C264" s="2" t="n">
        <x:v>11</x:v>
      </x:c>
      <x:c r="D264" s="2" t="str">
        <x:v>가상 사업관리팀</x:v>
      </x:c>
      <x:c r="E264" s="2" t="str">
        <x:v>업무교육</x:v>
      </x:c>
      <x:c r="F264" s="2" t="str">
        <x:v>수의계약</x:v>
      </x:c>
      <x:c r="G264" s="2" t="str">
        <x:v>업무교육 가상 과제 259</x:v>
      </x:c>
      <x:c r="H264" s="2" t="str">
        <x:v>가상업체19</x:v>
      </x:c>
      <x:c r="I264" s="5" t="n">
        <x:v>51000000</x:v>
      </x:c>
      <x:c r="J264" s="2" t="str">
        <x:v>완료</x:v>
      </x:c>
      <x:c r="K264" s="2" t="n">
        <x:v>1</x:v>
      </x:c>
      <x:c r="L264" s="2" t="str">
        <x:v>교육용 가상자료</x:v>
      </x:c>
    </x:row>
    <x:row r="265" ht="27" customHeight="1">
      <x:c r="A265" s="2" t="str">
        <x:v>SIM-2025-0260</x:v>
      </x:c>
      <x:c r="B265" s="2" t="str">
        <x:v>2025-11-19</x:v>
      </x:c>
      <x:c r="C265" s="2" t="n">
        <x:v>11</x:v>
      </x:c>
      <x:c r="D265" s="2" t="str">
        <x:v>가상 자료정비팀</x:v>
      </x:c>
      <x:c r="E265" s="2" t="str">
        <x:v>기록정비지원</x:v>
      </x:c>
      <x:c r="F265" s="2" t="str">
        <x:v>제한경쟁</x:v>
      </x:c>
      <x:c r="G265" s="2" t="str">
        <x:v>기록정비지원 가상 과제 260</x:v>
      </x:c>
      <x:c r="H265" s="2" t="str">
        <x:v>가상업체20</x:v>
      </x:c>
      <x:c r="I265" s="5" t="n">
        <x:v>55000000</x:v>
      </x:c>
      <x:c r="J265" s="2" t="str">
        <x:v>완료</x:v>
      </x:c>
      <x:c r="K265" s="2" t="n">
        <x:v>1</x:v>
      </x:c>
      <x:c r="L265" s="2" t="str">
        <x:v>교육용 가상자료</x:v>
      </x:c>
    </x:row>
    <x:row r="266" ht="27" customHeight="1">
      <x:c r="A266" s="2" t="str">
        <x:v>SIM-2025-0261</x:v>
      </x:c>
      <x:c r="B266" s="2" t="str">
        <x:v>2025-11-23</x:v>
      </x:c>
      <x:c r="C266" s="2" t="n">
        <x:v>11</x:v>
      </x:c>
      <x:c r="D266" s="2" t="str">
        <x:v>가상 설비지원팀</x:v>
      </x:c>
      <x:c r="E266" s="2" t="str">
        <x:v>설비점검지원</x:v>
      </x:c>
      <x:c r="F266" s="2" t="str">
        <x:v>수의계약</x:v>
      </x:c>
      <x:c r="G266" s="2" t="str">
        <x:v>설비점검지원 가상 과제 261</x:v>
      </x:c>
      <x:c r="H266" s="2" t="str">
        <x:v>가상업체21</x:v>
      </x:c>
      <x:c r="I266" s="5" t="n">
        <x:v>30000000</x:v>
      </x:c>
      <x:c r="J266" s="2" t="str">
        <x:v>완료</x:v>
      </x:c>
      <x:c r="K266" s="2" t="n">
        <x:v>3</x:v>
      </x:c>
      <x:c r="L266" s="2" t="str">
        <x:v>교육용 가상자료</x:v>
      </x:c>
    </x:row>
    <x:row r="267" ht="27" customHeight="1">
      <x:c r="A267" s="2" t="str">
        <x:v>SIM-2025-0262</x:v>
      </x:c>
      <x:c r="B267" s="2" t="str">
        <x:v>2025-11-17</x:v>
      </x:c>
      <x:c r="C267" s="2" t="n">
        <x:v>11</x:v>
      </x:c>
      <x:c r="D267" s="2" t="str">
        <x:v>가상 고객안내팀</x:v>
      </x:c>
      <x:c r="E267" s="2" t="str">
        <x:v>안내자료제작</x:v>
      </x:c>
      <x:c r="F267" s="2" t="str">
        <x:v>수의계약</x:v>
      </x:c>
      <x:c r="G267" s="2" t="str">
        <x:v>안내자료제작 가상 과제 262</x:v>
      </x:c>
      <x:c r="H267" s="2" t="str">
        <x:v>가상업체22</x:v>
      </x:c>
      <x:c r="I267" s="5" t="n">
        <x:v>45000000</x:v>
      </x:c>
      <x:c r="J267" s="2" t="str">
        <x:v>완료</x:v>
      </x:c>
      <x:c r="K267" s="2" t="n">
        <x:v>0</x:v>
      </x:c>
      <x:c r="L267" s="2" t="str">
        <x:v>교육용 가상자료</x:v>
      </x:c>
    </x:row>
    <x:row r="268" ht="27" customHeight="1">
      <x:c r="A268" s="2" t="str">
        <x:v>SIM-2025-0263</x:v>
      </x:c>
      <x:c r="B268" s="2" t="str">
        <x:v>2025-11-11</x:v>
      </x:c>
      <x:c r="C268" s="2" t="n">
        <x:v>11</x:v>
      </x:c>
      <x:c r="D268" s="2" t="str">
        <x:v>가상 업무교육팀</x:v>
      </x:c>
      <x:c r="E268" s="2" t="str">
        <x:v>업무교육</x:v>
      </x:c>
      <x:c r="F268" s="2" t="str">
        <x:v>일반경쟁</x:v>
      </x:c>
      <x:c r="G268" s="2" t="str">
        <x:v>업무교육 가상 과제 263</x:v>
      </x:c>
      <x:c r="H268" s="2" t="str">
        <x:v>가상업체23</x:v>
      </x:c>
      <x:c r="I268" s="5" t="n">
        <x:v>38000000</x:v>
      </x:c>
      <x:c r="J268" s="2" t="str">
        <x:v>완료</x:v>
      </x:c>
      <x:c r="K268" s="2" t="n">
        <x:v>2</x:v>
      </x:c>
      <x:c r="L268" s="2" t="str">
        <x:v>교육용 가상자료</x:v>
      </x:c>
    </x:row>
    <x:row r="269" ht="27" customHeight="1">
      <x:c r="A269" s="2" t="str">
        <x:v>SIM-2025-0264</x:v>
      </x:c>
      <x:c r="B269" s="2" t="str">
        <x:v>2025-11-17</x:v>
      </x:c>
      <x:c r="C269" s="2" t="n">
        <x:v>11</x:v>
      </x:c>
      <x:c r="D269" s="2" t="str">
        <x:v>가상 사업관리팀</x:v>
      </x:c>
      <x:c r="E269" s="2" t="str">
        <x:v>기록정비지원</x:v>
      </x:c>
      <x:c r="F269" s="2" t="str">
        <x:v>일반경쟁</x:v>
      </x:c>
      <x:c r="G269" s="2" t="str">
        <x:v>기록정비지원 가상 과제 264</x:v>
      </x:c>
      <x:c r="H269" s="2" t="str">
        <x:v>가상업체24</x:v>
      </x:c>
      <x:c r="I269" s="5" t="n">
        <x:v>64000000</x:v>
      </x:c>
      <x:c r="J269" s="2" t="str">
        <x:v>완료</x:v>
      </x:c>
      <x:c r="K269" s="2" t="n">
        <x:v>0</x:v>
      </x:c>
      <x:c r="L269" s="2" t="str">
        <x:v>교육용 가상자료</x:v>
      </x:c>
    </x:row>
    <x:row r="270" ht="27" customHeight="1">
      <x:c r="A270" s="2" t="str">
        <x:v>SIM-2025-0265</x:v>
      </x:c>
      <x:c r="B270" s="2" t="str">
        <x:v>2025-11-10</x:v>
      </x:c>
      <x:c r="C270" s="2" t="n">
        <x:v>11</x:v>
      </x:c>
      <x:c r="D270" s="2" t="str">
        <x:v>가상 자료정비팀</x:v>
      </x:c>
      <x:c r="E270" s="2" t="str">
        <x:v>설비점검지원</x:v>
      </x:c>
      <x:c r="F270" s="2" t="str">
        <x:v>제한경쟁</x:v>
      </x:c>
      <x:c r="G270" s="2" t="str">
        <x:v>설비점검지원 가상 과제 265</x:v>
      </x:c>
      <x:c r="H270" s="2" t="str">
        <x:v>가상업체01</x:v>
      </x:c>
      <x:c r="I270" s="5" t="n">
        <x:v>22000000</x:v>
      </x:c>
      <x:c r="J270" s="2" t="str">
        <x:v>완료</x:v>
      </x:c>
      <x:c r="K270" s="2" t="n">
        <x:v>1</x:v>
      </x:c>
      <x:c r="L270" s="2" t="str">
        <x:v>교육용 가상자료</x:v>
      </x:c>
    </x:row>
    <x:row r="271" ht="27" customHeight="1">
      <x:c r="A271" s="2" t="str">
        <x:v>SIM-2025-0266</x:v>
      </x:c>
      <x:c r="B271" s="2" t="str">
        <x:v>2025-11-17</x:v>
      </x:c>
      <x:c r="C271" s="2" t="n">
        <x:v>11</x:v>
      </x:c>
      <x:c r="D271" s="2" t="str">
        <x:v>가상 설비지원팀</x:v>
      </x:c>
      <x:c r="E271" s="2" t="str">
        <x:v>안내자료제작</x:v>
      </x:c>
      <x:c r="F271" s="2" t="str">
        <x:v>수의계약</x:v>
      </x:c>
      <x:c r="G271" s="2" t="str">
        <x:v>안내자료제작 가상 과제 266</x:v>
      </x:c>
      <x:c r="H271" s="2" t="str">
        <x:v>가상업체02</x:v>
      </x:c>
      <x:c r="I271" s="5" t="n">
        <x:v>46000000</x:v>
      </x:c>
      <x:c r="J271" s="2" t="str">
        <x:v>완료</x:v>
      </x:c>
      <x:c r="K271" s="2" t="n">
        <x:v>1</x:v>
      </x:c>
      <x:c r="L271" s="2" t="str">
        <x:v>교육용 가상자료</x:v>
      </x:c>
    </x:row>
    <x:row r="272" ht="27" customHeight="1">
      <x:c r="A272" s="2" t="str">
        <x:v>SIM-2025-0267</x:v>
      </x:c>
      <x:c r="B272" s="2" t="str">
        <x:v>2025-11-07</x:v>
      </x:c>
      <x:c r="C272" s="2" t="n">
        <x:v>11</x:v>
      </x:c>
      <x:c r="D272" s="2" t="str">
        <x:v>가상 고객안내팀</x:v>
      </x:c>
      <x:c r="E272" s="2" t="str">
        <x:v>업무교육</x:v>
      </x:c>
      <x:c r="F272" s="2" t="str">
        <x:v>수의계약</x:v>
      </x:c>
      <x:c r="G272" s="2" t="str">
        <x:v>업무교육 가상 과제 267</x:v>
      </x:c>
      <x:c r="H272" s="2" t="str">
        <x:v>가상업체03</x:v>
      </x:c>
      <x:c r="I272" s="5" t="n">
        <x:v>27000000</x:v>
      </x:c>
      <x:c r="J272" s="2" t="str">
        <x:v>완료</x:v>
      </x:c>
      <x:c r="K272" s="2" t="n">
        <x:v>2</x:v>
      </x:c>
      <x:c r="L272" s="2" t="str">
        <x:v>교육용 가상자료</x:v>
      </x:c>
    </x:row>
    <x:row r="273" ht="27" customHeight="1">
      <x:c r="A273" s="2" t="str">
        <x:v>SIM-2025-0268</x:v>
      </x:c>
      <x:c r="B273" s="2" t="str">
        <x:v>2025-11-09</x:v>
      </x:c>
      <x:c r="C273" s="2" t="n">
        <x:v>11</x:v>
      </x:c>
      <x:c r="D273" s="2" t="str">
        <x:v>가상 업무교육팀</x:v>
      </x:c>
      <x:c r="E273" s="2" t="str">
        <x:v>기록정비지원</x:v>
      </x:c>
      <x:c r="F273" s="2" t="str">
        <x:v>수의계약</x:v>
      </x:c>
      <x:c r="G273" s="2" t="str">
        <x:v>기록정비지원 가상 과제 268</x:v>
      </x:c>
      <x:c r="H273" s="2" t="str">
        <x:v>가상업체04</x:v>
      </x:c>
      <x:c r="I273" s="5" t="n">
        <x:v>22000000</x:v>
      </x:c>
      <x:c r="J273" s="2" t="str">
        <x:v>완료</x:v>
      </x:c>
      <x:c r="K273" s="2" t="n">
        <x:v>1</x:v>
      </x:c>
      <x:c r="L273" s="2" t="str">
        <x:v>교육용 가상자료</x:v>
      </x:c>
    </x:row>
    <x:row r="274" ht="27" customHeight="1">
      <x:c r="A274" s="2" t="str">
        <x:v>SIM-2025-0269</x:v>
      </x:c>
      <x:c r="B274" s="2" t="str">
        <x:v>2025-11-15</x:v>
      </x:c>
      <x:c r="C274" s="2" t="n">
        <x:v>11</x:v>
      </x:c>
      <x:c r="D274" s="2" t="str">
        <x:v>가상 사업관리팀</x:v>
      </x:c>
      <x:c r="E274" s="2" t="str">
        <x:v>설비점검지원</x:v>
      </x:c>
      <x:c r="F274" s="2" t="str">
        <x:v>제한경쟁</x:v>
      </x:c>
      <x:c r="G274" s="2" t="str">
        <x:v>설비점검지원 가상 과제 269</x:v>
      </x:c>
      <x:c r="H274" s="2" t="str">
        <x:v>가상업체05</x:v>
      </x:c>
      <x:c r="I274" s="5" t="n">
        <x:v>74000000</x:v>
      </x:c>
      <x:c r="J274" s="2" t="str">
        <x:v>완료</x:v>
      </x:c>
      <x:c r="K274" s="2" t="n">
        <x:v>3</x:v>
      </x:c>
      <x:c r="L274" s="2" t="str">
        <x:v>교육용 가상자료</x:v>
      </x:c>
    </x:row>
    <x:row r="275" ht="27" customHeight="1">
      <x:c r="A275" s="2" t="str">
        <x:v>SIM-2025-0270</x:v>
      </x:c>
      <x:c r="B275" s="2" t="str">
        <x:v>2025-11-16</x:v>
      </x:c>
      <x:c r="C275" s="2" t="n">
        <x:v>11</x:v>
      </x:c>
      <x:c r="D275" s="2" t="str">
        <x:v>가상 자료정비팀</x:v>
      </x:c>
      <x:c r="E275" s="2" t="str">
        <x:v>안내자료제작</x:v>
      </x:c>
      <x:c r="F275" s="2" t="str">
        <x:v>제한경쟁</x:v>
      </x:c>
      <x:c r="G275" s="2" t="str">
        <x:v>안내자료제작 가상 과제 270</x:v>
      </x:c>
      <x:c r="H275" s="2" t="str">
        <x:v>가상업체06</x:v>
      </x:c>
      <x:c r="I275" s="5" t="n">
        <x:v>22000000</x:v>
      </x:c>
      <x:c r="J275" s="2" t="str">
        <x:v>완료</x:v>
      </x:c>
      <x:c r="K275" s="2" t="n">
        <x:v>0</x:v>
      </x:c>
      <x:c r="L275" s="2" t="str">
        <x:v>교육용 가상자료</x:v>
      </x:c>
    </x:row>
    <x:row r="276" ht="27" customHeight="1">
      <x:c r="A276" s="2" t="str">
        <x:v>SIM-2025-0271</x:v>
      </x:c>
      <x:c r="B276" s="2" t="str">
        <x:v>2025-11-11</x:v>
      </x:c>
      <x:c r="C276" s="2" t="n">
        <x:v>11</x:v>
      </x:c>
      <x:c r="D276" s="2" t="str">
        <x:v>가상 설비지원팀</x:v>
      </x:c>
      <x:c r="E276" s="2" t="str">
        <x:v>업무교육</x:v>
      </x:c>
      <x:c r="F276" s="2" t="str">
        <x:v>일반경쟁</x:v>
      </x:c>
      <x:c r="G276" s="2" t="str">
        <x:v>업무교육 가상 과제 271</x:v>
      </x:c>
      <x:c r="H276" s="2" t="str">
        <x:v>가상업체07</x:v>
      </x:c>
      <x:c r="I276" s="5" t="n">
        <x:v>43000000</x:v>
      </x:c>
      <x:c r="J276" s="2" t="str">
        <x:v>완료</x:v>
      </x:c>
      <x:c r="K276" s="2" t="n">
        <x:v>1</x:v>
      </x:c>
      <x:c r="L276" s="2" t="str">
        <x:v>교육용 가상자료</x:v>
      </x:c>
    </x:row>
    <x:row r="277" ht="27" customHeight="1">
      <x:c r="A277" s="2" t="str">
        <x:v>SIM-2025-0272</x:v>
      </x:c>
      <x:c r="B277" s="2" t="str">
        <x:v>2025-11-04</x:v>
      </x:c>
      <x:c r="C277" s="2" t="n">
        <x:v>11</x:v>
      </x:c>
      <x:c r="D277" s="2" t="str">
        <x:v>가상 고객안내팀</x:v>
      </x:c>
      <x:c r="E277" s="2" t="str">
        <x:v>기록정비지원</x:v>
      </x:c>
      <x:c r="F277" s="2" t="str">
        <x:v>제한경쟁</x:v>
      </x:c>
      <x:c r="G277" s="2" t="str">
        <x:v>기록정비지원 가상 과제 272</x:v>
      </x:c>
      <x:c r="H277" s="2" t="str">
        <x:v>가상업체08</x:v>
      </x:c>
      <x:c r="I277" s="5" t="n">
        <x:v>21000000</x:v>
      </x:c>
      <x:c r="J277" s="2" t="str">
        <x:v>완료</x:v>
      </x:c>
      <x:c r="K277" s="2" t="n">
        <x:v>0</x:v>
      </x:c>
      <x:c r="L277" s="2" t="str">
        <x:v>교육용 가상자료</x:v>
      </x:c>
    </x:row>
    <x:row r="278" ht="27" customHeight="1">
      <x:c r="A278" s="2" t="str">
        <x:v>SIM-2025-0273</x:v>
      </x:c>
      <x:c r="B278" s="2" t="str">
        <x:v>2025-11-07</x:v>
      </x:c>
      <x:c r="C278" s="2" t="n">
        <x:v>11</x:v>
      </x:c>
      <x:c r="D278" s="2" t="str">
        <x:v>가상 업무교육팀</x:v>
      </x:c>
      <x:c r="E278" s="2" t="str">
        <x:v>설비점검지원</x:v>
      </x:c>
      <x:c r="F278" s="2" t="str">
        <x:v>제한경쟁</x:v>
      </x:c>
      <x:c r="G278" s="2" t="str">
        <x:v>설비점검지원 가상 과제 273</x:v>
      </x:c>
      <x:c r="H278" s="2" t="str">
        <x:v>가상업체09</x:v>
      </x:c>
      <x:c r="I278" s="5" t="n">
        <x:v>58000000</x:v>
      </x:c>
      <x:c r="J278" s="2" t="str">
        <x:v>완료</x:v>
      </x:c>
      <x:c r="K278" s="2" t="n">
        <x:v>0</x:v>
      </x:c>
      <x:c r="L278" s="2" t="str">
        <x:v>교육용 가상자료</x:v>
      </x:c>
    </x:row>
    <x:row r="279" ht="27" customHeight="1">
      <x:c r="A279" s="2" t="str">
        <x:v>SIM-2025-0274</x:v>
      </x:c>
      <x:c r="B279" s="2" t="str">
        <x:v>2025-11-10</x:v>
      </x:c>
      <x:c r="C279" s="2" t="n">
        <x:v>11</x:v>
      </x:c>
      <x:c r="D279" s="2" t="str">
        <x:v>가상 사업관리팀</x:v>
      </x:c>
      <x:c r="E279" s="2" t="str">
        <x:v>안내자료제작</x:v>
      </x:c>
      <x:c r="F279" s="2" t="str">
        <x:v>제한경쟁</x:v>
      </x:c>
      <x:c r="G279" s="2" t="str">
        <x:v>안내자료제작 가상 과제 274</x:v>
      </x:c>
      <x:c r="H279" s="2" t="str">
        <x:v>가상업체10</x:v>
      </x:c>
      <x:c r="I279" s="5" t="n">
        <x:v>67000000</x:v>
      </x:c>
      <x:c r="J279" s="2" t="str">
        <x:v>완료</x:v>
      </x:c>
      <x:c r="K279" s="2" t="n">
        <x:v>1</x:v>
      </x:c>
      <x:c r="L279" s="2" t="str">
        <x:v>교육용 가상자료</x:v>
      </x:c>
    </x:row>
    <x:row r="280" ht="27" customHeight="1">
      <x:c r="A280" s="2" t="str">
        <x:v>SIM-2025-0275</x:v>
      </x:c>
      <x:c r="B280" s="2" t="str">
        <x:v>2025-11-01</x:v>
      </x:c>
      <x:c r="C280" s="2" t="n">
        <x:v>11</x:v>
      </x:c>
      <x:c r="D280" s="2" t="str">
        <x:v>가상 자료정비팀</x:v>
      </x:c>
      <x:c r="E280" s="2" t="str">
        <x:v>업무교육</x:v>
      </x:c>
      <x:c r="F280" s="2" t="str">
        <x:v>수의계약</x:v>
      </x:c>
      <x:c r="G280" s="2" t="str">
        <x:v>업무교육 가상 과제 275</x:v>
      </x:c>
      <x:c r="H280" s="2" t="str">
        <x:v>가상업체11</x:v>
      </x:c>
      <x:c r="I280" s="5" t="n">
        <x:v>40000000</x:v>
      </x:c>
      <x:c r="J280" s="2" t="str">
        <x:v>완료</x:v>
      </x:c>
      <x:c r="K280" s="2" t="n">
        <x:v>3</x:v>
      </x:c>
      <x:c r="L280" s="2" t="str">
        <x:v>교육용 가상자료</x:v>
      </x:c>
    </x:row>
    <x:row r="281" ht="27" customHeight="1">
      <x:c r="A281" s="2" t="str">
        <x:v>SIM-2025-0276</x:v>
      </x:c>
      <x:c r="B281" s="2" t="str">
        <x:v>2025-12-06</x:v>
      </x:c>
      <x:c r="C281" s="2" t="n">
        <x:v>12</x:v>
      </x:c>
      <x:c r="D281" s="2" t="str">
        <x:v>가상 설비지원팀</x:v>
      </x:c>
      <x:c r="E281" s="2" t="str">
        <x:v>기록정비지원</x:v>
      </x:c>
      <x:c r="F281" s="2" t="str">
        <x:v>수의계약</x:v>
      </x:c>
      <x:c r="G281" s="2" t="str">
        <x:v>기록정비지원 가상 과제 276</x:v>
      </x:c>
      <x:c r="H281" s="2" t="str">
        <x:v>가상업체12</x:v>
      </x:c>
      <x:c r="I281" s="5" t="n">
        <x:v>52000000</x:v>
      </x:c>
      <x:c r="J281" s="2" t="str">
        <x:v>완료</x:v>
      </x:c>
      <x:c r="K281" s="2" t="n">
        <x:v>1</x:v>
      </x:c>
      <x:c r="L281" s="2" t="str">
        <x:v>교육용 가상자료</x:v>
      </x:c>
    </x:row>
    <x:row r="282" ht="27" customHeight="1">
      <x:c r="A282" s="2" t="str">
        <x:v>SIM-2025-0277</x:v>
      </x:c>
      <x:c r="B282" s="2" t="str">
        <x:v>2025-12-20</x:v>
      </x:c>
      <x:c r="C282" s="2" t="n">
        <x:v>12</x:v>
      </x:c>
      <x:c r="D282" s="2" t="str">
        <x:v>가상 고객안내팀</x:v>
      </x:c>
      <x:c r="E282" s="2" t="str">
        <x:v>설비점검지원</x:v>
      </x:c>
      <x:c r="F282" s="2" t="str">
        <x:v>일반경쟁</x:v>
      </x:c>
      <x:c r="G282" s="2" t="str">
        <x:v>설비점검지원 가상 과제 277</x:v>
      </x:c>
      <x:c r="H282" s="2" t="str">
        <x:v>가상업체13</x:v>
      </x:c>
      <x:c r="I282" s="5" t="n">
        <x:v>29000000</x:v>
      </x:c>
      <x:c r="J282" s="2" t="str">
        <x:v>완료</x:v>
      </x:c>
      <x:c r="K282" s="2" t="n">
        <x:v>1</x:v>
      </x:c>
      <x:c r="L282" s="2" t="str">
        <x:v>교육용 가상자료</x:v>
      </x:c>
    </x:row>
    <x:row r="283" ht="27" customHeight="1">
      <x:c r="A283" s="2" t="str">
        <x:v>SIM-2025-0278</x:v>
      </x:c>
      <x:c r="B283" s="2" t="str">
        <x:v>2025-12-12</x:v>
      </x:c>
      <x:c r="C283" s="2" t="n">
        <x:v>12</x:v>
      </x:c>
      <x:c r="D283" s="2" t="str">
        <x:v>가상 업무교육팀</x:v>
      </x:c>
      <x:c r="E283" s="2" t="str">
        <x:v>안내자료제작</x:v>
      </x:c>
      <x:c r="F283" s="2" t="str">
        <x:v>수의계약</x:v>
      </x:c>
      <x:c r="G283" s="2" t="str">
        <x:v>안내자료제작 가상 과제 278</x:v>
      </x:c>
      <x:c r="H283" s="2" t="str">
        <x:v>가상업체14</x:v>
      </x:c>
      <x:c r="I283" s="5" t="n">
        <x:v>72000000</x:v>
      </x:c>
      <x:c r="J283" s="2" t="str">
        <x:v>완료</x:v>
      </x:c>
      <x:c r="K283" s="2" t="n">
        <x:v>1</x:v>
      </x:c>
      <x:c r="L283" s="2" t="str">
        <x:v>교육용 가상자료</x:v>
      </x:c>
    </x:row>
    <x:row r="284" ht="27" customHeight="1">
      <x:c r="A284" s="2" t="str">
        <x:v>SIM-2025-0279</x:v>
      </x:c>
      <x:c r="B284" s="2" t="str">
        <x:v>2025-12-08</x:v>
      </x:c>
      <x:c r="C284" s="2" t="n">
        <x:v>12</x:v>
      </x:c>
      <x:c r="D284" s="2" t="str">
        <x:v>가상 사업관리팀</x:v>
      </x:c>
      <x:c r="E284" s="2" t="str">
        <x:v>업무교육</x:v>
      </x:c>
      <x:c r="F284" s="2" t="str">
        <x:v>일반경쟁</x:v>
      </x:c>
      <x:c r="G284" s="2" t="str">
        <x:v>업무교육 가상 과제 279</x:v>
      </x:c>
      <x:c r="H284" s="2" t="str">
        <x:v>가상업체15</x:v>
      </x:c>
      <x:c r="I284" s="5" t="n">
        <x:v>54000000</x:v>
      </x:c>
      <x:c r="J284" s="2" t="str">
        <x:v>완료</x:v>
      </x:c>
      <x:c r="K284" s="2" t="n">
        <x:v>0</x:v>
      </x:c>
      <x:c r="L284" s="2" t="str">
        <x:v>교육용 가상자료</x:v>
      </x:c>
    </x:row>
    <x:row r="285" ht="27" customHeight="1">
      <x:c r="A285" s="2" t="str">
        <x:v>SIM-2025-0280</x:v>
      </x:c>
      <x:c r="B285" s="2" t="str">
        <x:v>2025-12-03</x:v>
      </x:c>
      <x:c r="C285" s="2" t="n">
        <x:v>12</x:v>
      </x:c>
      <x:c r="D285" s="2" t="str">
        <x:v>가상 자료정비팀</x:v>
      </x:c>
      <x:c r="E285" s="2" t="str">
        <x:v>기록정비지원</x:v>
      </x:c>
      <x:c r="F285" s="2" t="str">
        <x:v>제한경쟁</x:v>
      </x:c>
      <x:c r="G285" s="2" t="str">
        <x:v>기록정비지원 가상 과제 280</x:v>
      </x:c>
      <x:c r="H285" s="2" t="str">
        <x:v>가상업체16</x:v>
      </x:c>
      <x:c r="I285" s="5" t="n">
        <x:v>48000000</x:v>
      </x:c>
      <x:c r="J285" s="2" t="str">
        <x:v>완료</x:v>
      </x:c>
      <x:c r="K285" s="2" t="n">
        <x:v>3</x:v>
      </x:c>
      <x:c r="L285" s="2" t="str">
        <x:v>교육용 가상자료</x:v>
      </x:c>
    </x:row>
    <x:row r="286" ht="27" customHeight="1">
      <x:c r="A286" s="2" t="str">
        <x:v>SIM-2025-0281</x:v>
      </x:c>
      <x:c r="B286" s="2" t="str">
        <x:v>2025-12-10</x:v>
      </x:c>
      <x:c r="C286" s="2" t="n">
        <x:v>12</x:v>
      </x:c>
      <x:c r="D286" s="2" t="str">
        <x:v>가상 설비지원팀</x:v>
      </x:c>
      <x:c r="E286" s="2" t="str">
        <x:v>설비점검지원</x:v>
      </x:c>
      <x:c r="F286" s="2" t="str">
        <x:v>수의계약</x:v>
      </x:c>
      <x:c r="G286" s="2" t="str">
        <x:v>설비점검지원 가상 과제 281</x:v>
      </x:c>
      <x:c r="H286" s="2" t="str">
        <x:v>가상업체17</x:v>
      </x:c>
      <x:c r="I286" s="5" t="n">
        <x:v>28000000</x:v>
      </x:c>
      <x:c r="J286" s="2" t="str">
        <x:v>완료</x:v>
      </x:c>
      <x:c r="K286" s="2" t="n">
        <x:v>3</x:v>
      </x:c>
      <x:c r="L286" s="2" t="str">
        <x:v>교육용 가상자료</x:v>
      </x:c>
    </x:row>
    <x:row r="287" ht="27" customHeight="1">
      <x:c r="A287" s="2" t="str">
        <x:v>SIM-2025-0282</x:v>
      </x:c>
      <x:c r="B287" s="2" t="str">
        <x:v>2025-12-02</x:v>
      </x:c>
      <x:c r="C287" s="2" t="n">
        <x:v>12</x:v>
      </x:c>
      <x:c r="D287" s="2" t="str">
        <x:v>가상 고객안내팀</x:v>
      </x:c>
      <x:c r="E287" s="2" t="str">
        <x:v>안내자료제작</x:v>
      </x:c>
      <x:c r="F287" s="2" t="str">
        <x:v>일반경쟁</x:v>
      </x:c>
      <x:c r="G287" s="2" t="str">
        <x:v>안내자료제작 가상 과제 282</x:v>
      </x:c>
      <x:c r="H287" s="2" t="str">
        <x:v>가상업체18</x:v>
      </x:c>
      <x:c r="I287" s="5" t="n">
        <x:v>47000000</x:v>
      </x:c>
      <x:c r="J287" s="2" t="str">
        <x:v>완료</x:v>
      </x:c>
      <x:c r="K287" s="2" t="n">
        <x:v>2</x:v>
      </x:c>
      <x:c r="L287" s="2" t="str">
        <x:v>교육용 가상자료</x:v>
      </x:c>
    </x:row>
    <x:row r="288" ht="27" customHeight="1">
      <x:c r="A288" s="2" t="str">
        <x:v>SIM-2025-0283</x:v>
      </x:c>
      <x:c r="B288" s="2" t="str">
        <x:v>2025-12-15</x:v>
      </x:c>
      <x:c r="C288" s="2" t="n">
        <x:v>12</x:v>
      </x:c>
      <x:c r="D288" s="2" t="str">
        <x:v>가상 업무교육팀</x:v>
      </x:c>
      <x:c r="E288" s="2" t="str">
        <x:v>업무교육</x:v>
      </x:c>
      <x:c r="F288" s="2" t="str">
        <x:v>제한경쟁</x:v>
      </x:c>
      <x:c r="G288" s="2" t="str">
        <x:v>업무교육 가상 과제 283</x:v>
      </x:c>
      <x:c r="H288" s="2" t="str">
        <x:v>가상업체19</x:v>
      </x:c>
      <x:c r="I288" s="5" t="n">
        <x:v>15000000</x:v>
      </x:c>
      <x:c r="J288" s="2" t="str">
        <x:v>완료</x:v>
      </x:c>
      <x:c r="K288" s="2" t="n">
        <x:v>3</x:v>
      </x:c>
      <x:c r="L288" s="2" t="str">
        <x:v>교육용 가상자료</x:v>
      </x:c>
    </x:row>
    <x:row r="289" ht="27" customHeight="1">
      <x:c r="A289" s="2" t="str">
        <x:v>SIM-2025-0284</x:v>
      </x:c>
      <x:c r="B289" s="2" t="str">
        <x:v>2025-12-22</x:v>
      </x:c>
      <x:c r="C289" s="2" t="n">
        <x:v>12</x:v>
      </x:c>
      <x:c r="D289" s="2" t="str">
        <x:v>가상 사업관리팀</x:v>
      </x:c>
      <x:c r="E289" s="2" t="str">
        <x:v>기록정비지원</x:v>
      </x:c>
      <x:c r="F289" s="2" t="str">
        <x:v>수의계약</x:v>
      </x:c>
      <x:c r="G289" s="2" t="str">
        <x:v>기록정비지원 가상 과제 284</x:v>
      </x:c>
      <x:c r="H289" s="2" t="str">
        <x:v>가상업체20</x:v>
      </x:c>
      <x:c r="I289" s="5" t="n">
        <x:v>39000000</x:v>
      </x:c>
      <x:c r="J289" s="2" t="str">
        <x:v>완료</x:v>
      </x:c>
      <x:c r="K289" s="2" t="n">
        <x:v>3</x:v>
      </x:c>
      <x:c r="L289" s="2" t="str">
        <x:v>교육용 가상자료</x:v>
      </x:c>
    </x:row>
    <x:row r="290" ht="27" customHeight="1">
      <x:c r="A290" s="2" t="str">
        <x:v>SIM-2025-0285</x:v>
      </x:c>
      <x:c r="B290" s="2" t="str">
        <x:v>2025-12-18</x:v>
      </x:c>
      <x:c r="C290" s="2" t="n">
        <x:v>12</x:v>
      </x:c>
      <x:c r="D290" s="2" t="str">
        <x:v>가상 자료정비팀</x:v>
      </x:c>
      <x:c r="E290" s="2" t="str">
        <x:v>설비점검지원</x:v>
      </x:c>
      <x:c r="F290" s="2" t="str">
        <x:v>수의계약</x:v>
      </x:c>
      <x:c r="G290" s="2" t="str">
        <x:v>설비점검지원 가상 과제 285</x:v>
      </x:c>
      <x:c r="H290" s="2" t="str">
        <x:v>가상업체21</x:v>
      </x:c>
      <x:c r="I290" s="5" t="n">
        <x:v>75000000</x:v>
      </x:c>
      <x:c r="J290" s="2" t="str">
        <x:v>완료</x:v>
      </x:c>
      <x:c r="K290" s="2" t="n">
        <x:v>1</x:v>
      </x:c>
      <x:c r="L290" s="2" t="str">
        <x:v>교육용 가상자료</x:v>
      </x:c>
    </x:row>
    <x:row r="291" ht="27" customHeight="1">
      <x:c r="A291" s="2" t="str">
        <x:v>SIM-2025-0286</x:v>
      </x:c>
      <x:c r="B291" s="2" t="str">
        <x:v>2025-12-25</x:v>
      </x:c>
      <x:c r="C291" s="2" t="n">
        <x:v>12</x:v>
      </x:c>
      <x:c r="D291" s="2" t="str">
        <x:v>가상 설비지원팀</x:v>
      </x:c>
      <x:c r="E291" s="2" t="str">
        <x:v>안내자료제작</x:v>
      </x:c>
      <x:c r="F291" s="2" t="str">
        <x:v>일반경쟁</x:v>
      </x:c>
      <x:c r="G291" s="2" t="str">
        <x:v>안내자료제작 가상 과제 286</x:v>
      </x:c>
      <x:c r="H291" s="2" t="str">
        <x:v>가상업체22</x:v>
      </x:c>
      <x:c r="I291" s="5" t="n">
        <x:v>72000000</x:v>
      </x:c>
      <x:c r="J291" s="2" t="str">
        <x:v>완료</x:v>
      </x:c>
      <x:c r="K291" s="2" t="n">
        <x:v>1</x:v>
      </x:c>
      <x:c r="L291" s="2" t="str">
        <x:v>교육용 가상자료</x:v>
      </x:c>
    </x:row>
    <x:row r="292" ht="27" customHeight="1">
      <x:c r="A292" s="2" t="str">
        <x:v>SIM-2025-0287</x:v>
      </x:c>
      <x:c r="B292" s="2" t="str">
        <x:v>2025-12-10</x:v>
      </x:c>
      <x:c r="C292" s="2" t="n">
        <x:v>12</x:v>
      </x:c>
      <x:c r="D292" s="2" t="str">
        <x:v>가상 고객안내팀</x:v>
      </x:c>
      <x:c r="E292" s="2" t="str">
        <x:v>업무교육</x:v>
      </x:c>
      <x:c r="F292" s="2" t="str">
        <x:v>수의계약</x:v>
      </x:c>
      <x:c r="G292" s="2" t="str">
        <x:v>업무교육 가상 과제 287</x:v>
      </x:c>
      <x:c r="H292" s="2" t="str">
        <x:v>가상업체23</x:v>
      </x:c>
      <x:c r="I292" s="5" t="n">
        <x:v>57000000</x:v>
      </x:c>
      <x:c r="J292" s="2" t="str">
        <x:v>완료</x:v>
      </x:c>
      <x:c r="K292" s="2" t="n">
        <x:v>3</x:v>
      </x:c>
      <x:c r="L292" s="2" t="str">
        <x:v>교육용 가상자료</x:v>
      </x:c>
    </x:row>
    <x:row r="293" ht="27" customHeight="1">
      <x:c r="A293" s="2" t="str">
        <x:v>SIM-2025-0288</x:v>
      </x:c>
      <x:c r="B293" s="2" t="str">
        <x:v>2025-12-07</x:v>
      </x:c>
      <x:c r="C293" s="2" t="n">
        <x:v>12</x:v>
      </x:c>
      <x:c r="D293" s="2" t="str">
        <x:v>가상 업무교육팀</x:v>
      </x:c>
      <x:c r="E293" s="2" t="str">
        <x:v>기록정비지원</x:v>
      </x:c>
      <x:c r="F293" s="2" t="str">
        <x:v>수의계약</x:v>
      </x:c>
      <x:c r="G293" s="2" t="str">
        <x:v>기록정비지원 가상 과제 288</x:v>
      </x:c>
      <x:c r="H293" s="2" t="str">
        <x:v>가상업체24</x:v>
      </x:c>
      <x:c r="I293" s="5" t="n">
        <x:v>55000000</x:v>
      </x:c>
      <x:c r="J293" s="2" t="str">
        <x:v>완료</x:v>
      </x:c>
      <x:c r="K293" s="2" t="n">
        <x:v>2</x:v>
      </x:c>
      <x:c r="L293" s="2" t="str">
        <x:v>교육용 가상자료</x:v>
      </x:c>
    </x:row>
    <x:row r="294" ht="27" customHeight="1">
      <x:c r="A294" s="2" t="str">
        <x:v>SIM-2025-0289</x:v>
      </x:c>
      <x:c r="B294" s="2" t="str">
        <x:v>2025-12-02</x:v>
      </x:c>
      <x:c r="C294" s="2" t="n">
        <x:v>12</x:v>
      </x:c>
      <x:c r="D294" s="2" t="str">
        <x:v>가상 사업관리팀</x:v>
      </x:c>
      <x:c r="E294" s="2" t="str">
        <x:v>설비점검지원</x:v>
      </x:c>
      <x:c r="F294" s="2" t="str">
        <x:v>수의계약</x:v>
      </x:c>
      <x:c r="G294" s="2" t="str">
        <x:v>설비점검지원 가상 과제 289</x:v>
      </x:c>
      <x:c r="H294" s="2" t="str">
        <x:v>가상업체01</x:v>
      </x:c>
      <x:c r="I294" s="5" t="n">
        <x:v>37000000</x:v>
      </x:c>
      <x:c r="J294" s="2" t="str">
        <x:v>완료</x:v>
      </x:c>
      <x:c r="K294" s="2" t="n">
        <x:v>0</x:v>
      </x:c>
      <x:c r="L294" s="2" t="str">
        <x:v>교육용 가상자료</x:v>
      </x:c>
    </x:row>
    <x:row r="295" ht="27" customHeight="1">
      <x:c r="A295" s="2" t="str">
        <x:v>SIM-2025-0290</x:v>
      </x:c>
      <x:c r="B295" s="2" t="str">
        <x:v>2025-12-13</x:v>
      </x:c>
      <x:c r="C295" s="2" t="n">
        <x:v>12</x:v>
      </x:c>
      <x:c r="D295" s="2" t="str">
        <x:v>가상 자료정비팀</x:v>
      </x:c>
      <x:c r="E295" s="2" t="str">
        <x:v>안내자료제작</x:v>
      </x:c>
      <x:c r="F295" s="2" t="str">
        <x:v>제한경쟁</x:v>
      </x:c>
      <x:c r="G295" s="2" t="str">
        <x:v>안내자료제작 가상 과제 290</x:v>
      </x:c>
      <x:c r="H295" s="2" t="str">
        <x:v>가상업체02</x:v>
      </x:c>
      <x:c r="I295" s="5" t="n">
        <x:v>69000000</x:v>
      </x:c>
      <x:c r="J295" s="2" t="str">
        <x:v>완료</x:v>
      </x:c>
      <x:c r="K295" s="2" t="n">
        <x:v>0</x:v>
      </x:c>
      <x:c r="L295" s="2" t="str">
        <x:v>교육용 가상자료</x:v>
      </x:c>
    </x:row>
    <x:row r="296" ht="27" customHeight="1">
      <x:c r="A296" s="2" t="str">
        <x:v>SIM-2025-0291</x:v>
      </x:c>
      <x:c r="B296" s="2" t="str">
        <x:v>2025-12-01</x:v>
      </x:c>
      <x:c r="C296" s="2" t="n">
        <x:v>12</x:v>
      </x:c>
      <x:c r="D296" s="2" t="str">
        <x:v>가상 설비지원팀</x:v>
      </x:c>
      <x:c r="E296" s="2" t="str">
        <x:v>업무교육</x:v>
      </x:c>
      <x:c r="F296" s="2" t="str">
        <x:v>일반경쟁</x:v>
      </x:c>
      <x:c r="G296" s="2" t="str">
        <x:v>업무교육 가상 과제 291</x:v>
      </x:c>
      <x:c r="H296" s="2" t="str">
        <x:v>가상업체03</x:v>
      </x:c>
      <x:c r="I296" s="5" t="n">
        <x:v>31000000</x:v>
      </x:c>
      <x:c r="J296" s="2" t="str">
        <x:v>완료</x:v>
      </x:c>
      <x:c r="K296" s="2" t="n">
        <x:v>2</x:v>
      </x:c>
      <x:c r="L296" s="2" t="str">
        <x:v>교육용 가상자료</x:v>
      </x:c>
    </x:row>
    <x:row r="297" ht="27" customHeight="1">
      <x:c r="A297" s="2" t="str">
        <x:v>SIM-2025-0292</x:v>
      </x:c>
      <x:c r="B297" s="2" t="str">
        <x:v>2025-12-23</x:v>
      </x:c>
      <x:c r="C297" s="2" t="n">
        <x:v>12</x:v>
      </x:c>
      <x:c r="D297" s="2" t="str">
        <x:v>가상 고객안내팀</x:v>
      </x:c>
      <x:c r="E297" s="2" t="str">
        <x:v>기록정비지원</x:v>
      </x:c>
      <x:c r="F297" s="2" t="str">
        <x:v>일반경쟁</x:v>
      </x:c>
      <x:c r="G297" s="2" t="str">
        <x:v>기록정비지원 가상 과제 292</x:v>
      </x:c>
      <x:c r="H297" s="2" t="str">
        <x:v>가상업체04</x:v>
      </x:c>
      <x:c r="I297" s="5" t="n">
        <x:v>75000000</x:v>
      </x:c>
      <x:c r="J297" s="2" t="str">
        <x:v>완료</x:v>
      </x:c>
      <x:c r="K297" s="2" t="n">
        <x:v>3</x:v>
      </x:c>
      <x:c r="L297" s="2" t="str">
        <x:v>교육용 가상자료</x:v>
      </x:c>
    </x:row>
    <x:row r="298" ht="27" customHeight="1">
      <x:c r="A298" s="2" t="str">
        <x:v>SIM-2025-0293</x:v>
      </x:c>
      <x:c r="B298" s="2" t="str">
        <x:v>2025-12-08</x:v>
      </x:c>
      <x:c r="C298" s="2" t="n">
        <x:v>12</x:v>
      </x:c>
      <x:c r="D298" s="2" t="str">
        <x:v>가상 업무교육팀</x:v>
      </x:c>
      <x:c r="E298" s="2" t="str">
        <x:v>설비점검지원</x:v>
      </x:c>
      <x:c r="F298" s="2" t="str">
        <x:v>수의계약</x:v>
      </x:c>
      <x:c r="G298" s="2" t="str">
        <x:v>설비점검지원 가상 과제 293</x:v>
      </x:c>
      <x:c r="H298" s="2" t="str">
        <x:v>가상업체05</x:v>
      </x:c>
      <x:c r="I298" s="5" t="n">
        <x:v>28000000</x:v>
      </x:c>
      <x:c r="J298" s="2" t="str">
        <x:v>완료</x:v>
      </x:c>
      <x:c r="K298" s="2" t="n">
        <x:v>3</x:v>
      </x:c>
      <x:c r="L298" s="2" t="str">
        <x:v>교육용 가상자료</x:v>
      </x:c>
    </x:row>
    <x:row r="299" ht="27" customHeight="1">
      <x:c r="A299" s="2" t="str">
        <x:v>SIM-2025-0294</x:v>
      </x:c>
      <x:c r="B299" s="2" t="str">
        <x:v>2025-12-23</x:v>
      </x:c>
      <x:c r="C299" s="2" t="n">
        <x:v>12</x:v>
      </x:c>
      <x:c r="D299" s="2" t="str">
        <x:v>가상 사업관리팀</x:v>
      </x:c>
      <x:c r="E299" s="2" t="str">
        <x:v>안내자료제작</x:v>
      </x:c>
      <x:c r="F299" s="2" t="str">
        <x:v>일반경쟁</x:v>
      </x:c>
      <x:c r="G299" s="2" t="str">
        <x:v>안내자료제작 가상 과제 294</x:v>
      </x:c>
      <x:c r="H299" s="2" t="str">
        <x:v>가상업체06</x:v>
      </x:c>
      <x:c r="I299" s="5" t="n">
        <x:v>9000000</x:v>
      </x:c>
      <x:c r="J299" s="2" t="str">
        <x:v>완료</x:v>
      </x:c>
      <x:c r="K299" s="2" t="n">
        <x:v>3</x:v>
      </x:c>
      <x:c r="L299" s="2" t="str">
        <x:v>교육용 가상자료</x:v>
      </x:c>
    </x:row>
    <x:row r="300" ht="27" customHeight="1">
      <x:c r="A300" s="2" t="str">
        <x:v>SIM-2025-0295</x:v>
      </x:c>
      <x:c r="B300" s="2" t="str">
        <x:v>2025-12-23</x:v>
      </x:c>
      <x:c r="C300" s="2" t="n">
        <x:v>12</x:v>
      </x:c>
      <x:c r="D300" s="2" t="str">
        <x:v>가상 자료정비팀</x:v>
      </x:c>
      <x:c r="E300" s="2" t="str">
        <x:v>업무교육</x:v>
      </x:c>
      <x:c r="F300" s="2" t="str">
        <x:v>일반경쟁</x:v>
      </x:c>
      <x:c r="G300" s="2" t="str">
        <x:v>업무교육 가상 과제 295</x:v>
      </x:c>
      <x:c r="H300" s="2" t="str">
        <x:v>가상업체07</x:v>
      </x:c>
      <x:c r="I300" s="5" t="n">
        <x:v>16000000</x:v>
      </x:c>
      <x:c r="J300" s="2" t="str">
        <x:v>완료</x:v>
      </x:c>
      <x:c r="K300" s="2" t="n">
        <x:v>2</x:v>
      </x:c>
      <x:c r="L300" s="2" t="str">
        <x:v>교육용 가상자료</x:v>
      </x:c>
    </x:row>
    <x:row r="301" ht="27" customHeight="1">
      <x:c r="A301" s="2" t="str">
        <x:v>SIM-2025-0296</x:v>
      </x:c>
      <x:c r="B301" s="2" t="str">
        <x:v>2025-12-16</x:v>
      </x:c>
      <x:c r="C301" s="2" t="n">
        <x:v>12</x:v>
      </x:c>
      <x:c r="D301" s="2" t="str">
        <x:v>가상 설비지원팀</x:v>
      </x:c>
      <x:c r="E301" s="2" t="str">
        <x:v>기록정비지원</x:v>
      </x:c>
      <x:c r="F301" s="2" t="str">
        <x:v>일반경쟁</x:v>
      </x:c>
      <x:c r="G301" s="2" t="str">
        <x:v>기록정비지원 가상 과제 296</x:v>
      </x:c>
      <x:c r="H301" s="2" t="str">
        <x:v>가상업체08</x:v>
      </x:c>
      <x:c r="I301" s="5" t="n">
        <x:v>60000000</x:v>
      </x:c>
      <x:c r="J301" s="2" t="str">
        <x:v>완료</x:v>
      </x:c>
      <x:c r="K301" s="2" t="n">
        <x:v>2</x:v>
      </x:c>
      <x:c r="L301" s="2" t="str">
        <x:v>교육용 가상자료</x:v>
      </x:c>
    </x:row>
    <x:row r="302" ht="27" customHeight="1">
      <x:c r="A302" s="2" t="str">
        <x:v>SIM-2025-0297</x:v>
      </x:c>
      <x:c r="B302" s="2" t="str">
        <x:v>2025-12-01</x:v>
      </x:c>
      <x:c r="C302" s="2" t="n">
        <x:v>12</x:v>
      </x:c>
      <x:c r="D302" s="2" t="str">
        <x:v>가상 고객안내팀</x:v>
      </x:c>
      <x:c r="E302" s="2" t="str">
        <x:v>설비점검지원</x:v>
      </x:c>
      <x:c r="F302" s="2" t="str">
        <x:v>수의계약</x:v>
      </x:c>
      <x:c r="G302" s="2" t="str">
        <x:v>설비점검지원 가상 과제 297</x:v>
      </x:c>
      <x:c r="H302" s="2" t="str">
        <x:v>가상업체09</x:v>
      </x:c>
      <x:c r="I302" s="5" t="n">
        <x:v>25000000</x:v>
      </x:c>
      <x:c r="J302" s="2" t="str">
        <x:v>완료</x:v>
      </x:c>
      <x:c r="K302" s="2" t="n">
        <x:v>2</x:v>
      </x:c>
      <x:c r="L302" s="2" t="str">
        <x:v>교육용 가상자료</x:v>
      </x:c>
    </x:row>
    <x:row r="303" ht="27" customHeight="1">
      <x:c r="A303" s="2" t="str">
        <x:v>SIM-2025-0298</x:v>
      </x:c>
      <x:c r="B303" s="2" t="str">
        <x:v>2025-12-26</x:v>
      </x:c>
      <x:c r="C303" s="2" t="n">
        <x:v>12</x:v>
      </x:c>
      <x:c r="D303" s="2" t="str">
        <x:v>가상 업무교육팀</x:v>
      </x:c>
      <x:c r="E303" s="2" t="str">
        <x:v>안내자료제작</x:v>
      </x:c>
      <x:c r="F303" s="2" t="str">
        <x:v>수의계약</x:v>
      </x:c>
      <x:c r="G303" s="2" t="str">
        <x:v>안내자료제작 가상 과제 298</x:v>
      </x:c>
      <x:c r="H303" s="2" t="str">
        <x:v>가상업체10</x:v>
      </x:c>
      <x:c r="I303" s="5" t="n">
        <x:v>62000000</x:v>
      </x:c>
      <x:c r="J303" s="2" t="str">
        <x:v>완료</x:v>
      </x:c>
      <x:c r="K303" s="2" t="n">
        <x:v>2</x:v>
      </x:c>
      <x:c r="L303" s="2" t="str">
        <x:v>교육용 가상자료</x:v>
      </x:c>
    </x:row>
    <x:row r="304" ht="27" customHeight="1">
      <x:c r="A304" s="2" t="str">
        <x:v>SIM-2025-0299</x:v>
      </x:c>
      <x:c r="B304" s="2" t="str">
        <x:v>2025-12-02</x:v>
      </x:c>
      <x:c r="C304" s="2" t="n">
        <x:v>12</x:v>
      </x:c>
      <x:c r="D304" s="2" t="str">
        <x:v>가상 사업관리팀</x:v>
      </x:c>
      <x:c r="E304" s="2" t="str">
        <x:v>업무교육</x:v>
      </x:c>
      <x:c r="F304" s="2" t="str">
        <x:v>수의계약</x:v>
      </x:c>
      <x:c r="G304" s="2" t="str">
        <x:v>업무교육 가상 과제 299</x:v>
      </x:c>
      <x:c r="H304" s="2" t="str">
        <x:v>가상업체11</x:v>
      </x:c>
      <x:c r="I304" s="5" t="n">
        <x:v>71000000</x:v>
      </x:c>
      <x:c r="J304" s="2" t="str">
        <x:v>완료</x:v>
      </x:c>
      <x:c r="K304" s="2" t="n">
        <x:v>3</x:v>
      </x:c>
      <x:c r="L304" s="2" t="str">
        <x:v>교육용 가상자료</x:v>
      </x:c>
    </x:row>
    <x:row r="305" ht="27" customHeight="1">
      <x:c r="A305" s="2" t="str">
        <x:v>SIM-2025-0300</x:v>
      </x:c>
      <x:c r="B305" s="2" t="str">
        <x:v>2025-12-16</x:v>
      </x:c>
      <x:c r="C305" s="2" t="n">
        <x:v>12</x:v>
      </x:c>
      <x:c r="D305" s="2" t="str">
        <x:v>가상 자료정비팀</x:v>
      </x:c>
      <x:c r="E305" s="2" t="str">
        <x:v>기록정비지원</x:v>
      </x:c>
      <x:c r="F305" s="2" t="str">
        <x:v>수의계약</x:v>
      </x:c>
      <x:c r="G305" s="2" t="str">
        <x:v>기록정비지원 가상 과제 300</x:v>
      </x:c>
      <x:c r="H305" s="2" t="str">
        <x:v>가상업체12</x:v>
      </x:c>
      <x:c r="I305" s="5" t="n">
        <x:v>8000000</x:v>
      </x:c>
      <x:c r="J305" s="2" t="str">
        <x:v>완료</x:v>
      </x:c>
      <x:c r="K305" s="2" t="n">
        <x:v>1</x:v>
      </x:c>
      <x:c r="L305" s="2" t="str">
        <x:v>교육용 가상자료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75" hidden="0" customWidth="1"/>
    <x:col min="2" max="2" width="21.25" hidden="0" customWidth="1"/>
    <x:col min="3" max="3" width="15" hidden="0" customWidth="1"/>
    <x:col min="4" max="4" width="21.25" hidden="0" customWidth="1"/>
    <x:col min="5" max="5" width="17.5" hidden="0" customWidth="1"/>
    <x:col min="6" max="6" width="15.630000114440918" hidden="0" customWidth="1"/>
  </x:cols>
  <x:sheetData>
    <x:row r="1" ht="30" customHeight="1">
      <x:c r="A1" s="4" t="str">
        <x:v>교육용 가상자료 / 집계 결과와 원자료 독립 합계 비교 / PASS는 현재 자료의 대사 결과</x:v>
      </x:c>
      <x:c r="B1" s="4"/>
      <x:c r="C1" s="4"/>
      <x:c r="D1" s="4"/>
      <x:c r="E1" s="4"/>
      <x:c r="F1" s="4"/>
    </x:row>
    <x:row r="2" ht="27" customHeight="1">
      <x:c r="A2" s="3" t="str">
        <x:v>검산 및 계약번호 중복 확인</x:v>
      </x:c>
      <x:c r="B2" s="2"/>
      <x:c r="C2" s="2"/>
      <x:c r="D2" s="2"/>
      <x:c r="E2" s="2"/>
      <x:c r="F2" s="2"/>
    </x:row>
    <x:row r="3" ht="27" customHeight="1">
      <x:c r="A3" s="2"/>
      <x:c r="B3" s="2"/>
      <x:c r="C3" s="2"/>
      <x:c r="D3" s="2"/>
      <x:c r="E3" s="2"/>
      <x:c r="F3" s="2"/>
    </x:row>
    <x:row r="4" ht="27" customHeight="1">
      <x:c r="A4" s="2"/>
      <x:c r="B4" s="2"/>
      <x:c r="C4" s="2"/>
      <x:c r="D4" s="2"/>
      <x:c r="E4" s="2"/>
      <x:c r="F4" s="2"/>
    </x:row>
    <x:row r="5" ht="36" customHeight="1">
      <x:c r="A5" s="9" t="str">
        <x:v>검산 항목</x:v>
      </x:c>
      <x:c r="B5" s="9" t="str">
        <x:v>차이·위반 행 수</x:v>
      </x:c>
      <x:c r="C5" s="9" t="str">
        <x:v>결과</x:v>
      </x:c>
      <x:c r="D5" s="9" t="str">
        <x:v>계약번호</x:v>
      </x:c>
      <x:c r="E5" s="9" t="str">
        <x:v>동일 번호 수(건)</x:v>
      </x:c>
      <x:c r="F5" s="2"/>
    </x:row>
    <x:row r="6" ht="27" customHeight="1">
      <x:c r="A6" s="2" t="str">
        <x:v>월별 건수 차이</x:v>
      </x:c>
      <x:c r="B6" s="2" t="n">
        <x:f>'통합집계'!B19-COUNTA('계약원자료'!$A$6:$A$305)</x:f>
        <x:v>0</x:v>
      </x:c>
      <x:c r="C6" s="2" t="str">
        <x:f>IF(ABS(B6)&lt;0.000000001,"PASS","확인 필요")</x:f>
        <x:v>PASS</x:v>
      </x:c>
      <x:c r="D6" s="2" t="str">
        <x:f>'계약원자료'!A6</x:f>
        <x:v>SIM-2025-0001</x:v>
      </x:c>
      <x:c r="E6" s="2" t="n">
        <x:f>COUNTIF('계약원자료'!$A$6:$A$305,D6)</x:f>
        <x:v>1</x:v>
      </x:c>
      <x:c r="F6" s="2"/>
    </x:row>
    <x:row r="7" ht="27" customHeight="1">
      <x:c r="A7" s="2" t="str">
        <x:v>월별 금액 차이</x:v>
      </x:c>
      <x:c r="B7" s="2" t="n">
        <x:f>'통합집계'!C19-SUM('계약원자료'!$I$6:$I$305)</x:f>
        <x:v>0</x:v>
      </x:c>
      <x:c r="C7" s="2" t="str">
        <x:f>IF(ABS(B7)&lt;0.000000001,"PASS","확인 필요")</x:f>
        <x:v>PASS</x:v>
      </x:c>
      <x:c r="D7" s="2" t="str">
        <x:f>'계약원자료'!A7</x:f>
        <x:v>SIM-2025-0002</x:v>
      </x:c>
      <x:c r="E7" s="2" t="n">
        <x:f>COUNTIF('계약원자료'!$A$6:$A$305,D7)</x:f>
        <x:v>1</x:v>
      </x:c>
      <x:c r="F7" s="2"/>
    </x:row>
    <x:row r="8" ht="27" customHeight="1">
      <x:c r="A8" s="2" t="str">
        <x:v>업무별 건수 차이</x:v>
      </x:c>
      <x:c r="B8" s="2" t="n">
        <x:f>'통합집계'!B28-COUNTA('계약원자료'!$A$6:$A$305)</x:f>
        <x:v>0</x:v>
      </x:c>
      <x:c r="C8" s="2" t="str">
        <x:f>IF(ABS(B8)&lt;0.000000001,"PASS","확인 필요")</x:f>
        <x:v>PASS</x:v>
      </x:c>
      <x:c r="D8" s="2" t="str">
        <x:f>'계약원자료'!A8</x:f>
        <x:v>SIM-2025-0003</x:v>
      </x:c>
      <x:c r="E8" s="2" t="n">
        <x:f>COUNTIF('계약원자료'!$A$6:$A$305,D8)</x:f>
        <x:v>1</x:v>
      </x:c>
      <x:c r="F8" s="2"/>
    </x:row>
    <x:row r="9" ht="27" customHeight="1">
      <x:c r="A9" s="2" t="str">
        <x:v>업무별 금액 차이</x:v>
      </x:c>
      <x:c r="B9" s="2" t="n">
        <x:f>'통합집계'!C28-SUM('계약원자료'!$I$6:$I$305)</x:f>
        <x:v>0</x:v>
      </x:c>
      <x:c r="C9" s="2" t="str">
        <x:f>IF(ABS(B9)&lt;0.000000001,"PASS","확인 필요")</x:f>
        <x:v>PASS</x:v>
      </x:c>
      <x:c r="D9" s="2" t="str">
        <x:f>'계약원자료'!A9</x:f>
        <x:v>SIM-2025-0004</x:v>
      </x:c>
      <x:c r="E9" s="2" t="n">
        <x:f>COUNTIF('계약원자료'!$A$6:$A$305,D9)</x:f>
        <x:v>1</x:v>
      </x:c>
      <x:c r="F9" s="2"/>
    </x:row>
    <x:row r="10" ht="27" customHeight="1">
      <x:c r="A10" s="2" t="str">
        <x:v>계약방법 건수 차이</x:v>
      </x:c>
      <x:c r="B10" s="2" t="n">
        <x:f>'통합집계'!B37-COUNTA('계약원자료'!$A$6:$A$305)</x:f>
        <x:v>0</x:v>
      </x:c>
      <x:c r="C10" s="2" t="str">
        <x:f>IF(ABS(B10)&lt;0.000000001,"PASS","확인 필요")</x:f>
        <x:v>PASS</x:v>
      </x:c>
      <x:c r="D10" s="2" t="str">
        <x:f>'계약원자료'!A10</x:f>
        <x:v>SIM-2025-0005</x:v>
      </x:c>
      <x:c r="E10" s="2" t="n">
        <x:f>COUNTIF('계약원자료'!$A$6:$A$305,D10)</x:f>
        <x:v>1</x:v>
      </x:c>
      <x:c r="F10" s="2"/>
    </x:row>
    <x:row r="11" ht="27" customHeight="1">
      <x:c r="A11" s="2" t="str">
        <x:v>계약방법 금액 차이</x:v>
      </x:c>
      <x:c r="B11" s="2" t="n">
        <x:f>'통합집계'!C37-SUM('계약원자료'!$I$6:$I$305)</x:f>
        <x:v>0</x:v>
      </x:c>
      <x:c r="C11" s="2" t="str">
        <x:f>IF(ABS(B11)&lt;0.000000001,"PASS","확인 필요")</x:f>
        <x:v>PASS</x:v>
      </x:c>
      <x:c r="D11" s="2" t="str">
        <x:f>'계약원자료'!A11</x:f>
        <x:v>SIM-2025-0006</x:v>
      </x:c>
      <x:c r="E11" s="2" t="n">
        <x:f>COUNTIF('계약원자료'!$A$6:$A$305,D11)</x:f>
        <x:v>1</x:v>
      </x:c>
      <x:c r="F11" s="2"/>
    </x:row>
    <x:row r="12" ht="27" customHeight="1">
      <x:c r="A12" s="2" t="str">
        <x:v>업무 금액 비중 차이</x:v>
      </x:c>
      <x:c r="B12" s="2" t="n">
        <x:f>'통합집계'!E28-1</x:f>
        <x:v>0</x:v>
      </x:c>
      <x:c r="C12" s="2" t="str">
        <x:f>IF(ABS(B12)&lt;0.000000001,"PASS","확인 필요")</x:f>
        <x:v>PASS</x:v>
      </x:c>
      <x:c r="D12" s="2" t="str">
        <x:f>'계약원자료'!A12</x:f>
        <x:v>SIM-2025-0007</x:v>
      </x:c>
      <x:c r="E12" s="2" t="n">
        <x:f>COUNTIF('계약원자료'!$A$6:$A$305,D12)</x:f>
        <x:v>1</x:v>
      </x:c>
      <x:c r="F12" s="2"/>
    </x:row>
    <x:row r="13" ht="27" customHeight="1">
      <x:c r="A13" s="2" t="str">
        <x:v>방법 건수 비중 차이</x:v>
      </x:c>
      <x:c r="B13" s="2" t="n">
        <x:f>'통합집계'!D37-1</x:f>
        <x:v>0</x:v>
      </x:c>
      <x:c r="C13" s="2" t="str">
        <x:f>IF(ABS(B13)&lt;0.000000001,"PASS","확인 필요")</x:f>
        <x:v>PASS</x:v>
      </x:c>
      <x:c r="D13" s="2" t="str">
        <x:f>'계약원자료'!A13</x:f>
        <x:v>SIM-2025-0008</x:v>
      </x:c>
      <x:c r="E13" s="2" t="n">
        <x:f>COUNTIF('계약원자료'!$A$6:$A$305,D13)</x:f>
        <x:v>1</x:v>
      </x:c>
      <x:c r="F13" s="2"/>
    </x:row>
    <x:row r="14" ht="27" customHeight="1">
      <x:c r="A14" s="2" t="str">
        <x:v>중복 계약번호 행 수</x:v>
      </x:c>
      <x:c r="B14" s="2" t="n">
        <x:f>COUNTIF(E6:E305,"&gt;1")</x:f>
        <x:v>0</x:v>
      </x:c>
      <x:c r="C14" s="2" t="str">
        <x:f>IF(ABS(B14)&lt;0.000000001,"PASS","확인 필요")</x:f>
        <x:v>PASS</x:v>
      </x:c>
      <x:c r="D14" s="2" t="str">
        <x:f>'계약원자료'!A14</x:f>
        <x:v>SIM-2025-0009</x:v>
      </x:c>
      <x:c r="E14" s="2" t="n">
        <x:f>COUNTIF('계약원자료'!$A$6:$A$305,D14)</x:f>
        <x:v>1</x:v>
      </x:c>
      <x:c r="F14" s="2"/>
    </x:row>
    <x:row r="15" ht="27" customHeight="1">
      <x:c r="A15" s="2" t="str">
        <x:v>빈 계약번호 수</x:v>
      </x:c>
      <x:c r="B15" s="2" t="n">
        <x:f>COUNTBLANK('계약원자료'!A6:A305)</x:f>
        <x:v>0</x:v>
      </x:c>
      <x:c r="C15" s="2" t="str">
        <x:f>IF(ABS(B15)&lt;0.000000001,"PASS","확인 필요")</x:f>
        <x:v>PASS</x:v>
      </x:c>
      <x:c r="D15" s="2" t="str">
        <x:f>'계약원자료'!A15</x:f>
        <x:v>SIM-2025-0010</x:v>
      </x:c>
      <x:c r="E15" s="2" t="n">
        <x:f>COUNTIF('계약원자료'!$A$6:$A$305,D15)</x:f>
        <x:v>1</x:v>
      </x:c>
      <x:c r="F15" s="2"/>
    </x:row>
    <x:row r="16" ht="27" customHeight="1">
      <x:c r="A16" s="2" t="str">
        <x:v>월 범위 밖 행 수</x:v>
      </x:c>
      <x:c r="B16" s="2" t="n">
        <x:f>COUNTIF('계약원자료'!C6:C305,"&lt;1")+COUNTIF('계약원자료'!C6:C305,"&gt;12")</x:f>
        <x:v>0</x:v>
      </x:c>
      <x:c r="C16" s="2" t="str">
        <x:f>IF(ABS(B16)&lt;0.000000001,"PASS","확인 필요")</x:f>
        <x:v>PASS</x:v>
      </x:c>
      <x:c r="D16" s="2" t="str">
        <x:f>'계약원자료'!A16</x:f>
        <x:v>SIM-2025-0011</x:v>
      </x:c>
      <x:c r="E16" s="2" t="n">
        <x:f>COUNTIF('계약원자료'!$A$6:$A$305,D16)</x:f>
        <x:v>1</x:v>
      </x:c>
      <x:c r="F16" s="2"/>
    </x:row>
    <x:row r="17" ht="27" customHeight="1">
      <x:c r="A17" s="2"/>
      <x:c r="B17" s="2"/>
      <x:c r="C17" s="2"/>
      <x:c r="D17" s="2" t="str">
        <x:f>'계약원자료'!A17</x:f>
        <x:v>SIM-2025-0012</x:v>
      </x:c>
      <x:c r="E17" s="2" t="n">
        <x:f>COUNTIF('계약원자료'!$A$6:$A$305,D17)</x:f>
        <x:v>1</x:v>
      </x:c>
      <x:c r="F17" s="2"/>
    </x:row>
    <x:row r="18" ht="27" customHeight="1">
      <x:c r="A18" s="2"/>
      <x:c r="B18" s="2"/>
      <x:c r="C18" s="2"/>
      <x:c r="D18" s="2" t="str">
        <x:f>'계약원자료'!A18</x:f>
        <x:v>SIM-2025-0013</x:v>
      </x:c>
      <x:c r="E18" s="2" t="n">
        <x:f>COUNTIF('계약원자료'!$A$6:$A$305,D18)</x:f>
        <x:v>1</x:v>
      </x:c>
      <x:c r="F18" s="2"/>
    </x:row>
    <x:row r="19" ht="27" customHeight="1">
      <x:c r="A19" s="2"/>
      <x:c r="B19" s="2"/>
      <x:c r="C19" s="2"/>
      <x:c r="D19" s="2" t="str">
        <x:f>'계약원자료'!A19</x:f>
        <x:v>SIM-2025-0014</x:v>
      </x:c>
      <x:c r="E19" s="2" t="n">
        <x:f>COUNTIF('계약원자료'!$A$6:$A$305,D19)</x:f>
        <x:v>1</x:v>
      </x:c>
      <x:c r="F19" s="2"/>
    </x:row>
    <x:row r="20" ht="27" customHeight="1">
      <x:c r="A20" s="2"/>
      <x:c r="B20" s="2"/>
      <x:c r="C20" s="2"/>
      <x:c r="D20" s="2" t="str">
        <x:f>'계약원자료'!A20</x:f>
        <x:v>SIM-2025-0015</x:v>
      </x:c>
      <x:c r="E20" s="2" t="n">
        <x:f>COUNTIF('계약원자료'!$A$6:$A$305,D20)</x:f>
        <x:v>1</x:v>
      </x:c>
      <x:c r="F20" s="2"/>
    </x:row>
    <x:row r="21" ht="27" customHeight="1">
      <x:c r="A21" s="2"/>
      <x:c r="B21" s="2"/>
      <x:c r="C21" s="2"/>
      <x:c r="D21" s="2" t="str">
        <x:f>'계약원자료'!A21</x:f>
        <x:v>SIM-2025-0016</x:v>
      </x:c>
      <x:c r="E21" s="2" t="n">
        <x:f>COUNTIF('계약원자료'!$A$6:$A$305,D21)</x:f>
        <x:v>1</x:v>
      </x:c>
      <x:c r="F21" s="2"/>
    </x:row>
    <x:row r="22" ht="27" customHeight="1">
      <x:c r="A22" s="2"/>
      <x:c r="B22" s="2"/>
      <x:c r="C22" s="2"/>
      <x:c r="D22" s="2" t="str">
        <x:f>'계약원자료'!A22</x:f>
        <x:v>SIM-2025-0017</x:v>
      </x:c>
      <x:c r="E22" s="2" t="n">
        <x:f>COUNTIF('계약원자료'!$A$6:$A$305,D22)</x:f>
        <x:v>1</x:v>
      </x:c>
      <x:c r="F22" s="2"/>
    </x:row>
    <x:row r="23" ht="27" customHeight="1">
      <x:c r="A23" s="2"/>
      <x:c r="B23" s="2"/>
      <x:c r="C23" s="2"/>
      <x:c r="D23" s="2" t="str">
        <x:f>'계약원자료'!A23</x:f>
        <x:v>SIM-2025-0018</x:v>
      </x:c>
      <x:c r="E23" s="2" t="n">
        <x:f>COUNTIF('계약원자료'!$A$6:$A$305,D23)</x:f>
        <x:v>1</x:v>
      </x:c>
      <x:c r="F23" s="2"/>
    </x:row>
    <x:row r="24" ht="27" customHeight="1">
      <x:c r="A24" s="2"/>
      <x:c r="B24" s="2"/>
      <x:c r="C24" s="2"/>
      <x:c r="D24" s="2" t="str">
        <x:f>'계약원자료'!A24</x:f>
        <x:v>SIM-2025-0019</x:v>
      </x:c>
      <x:c r="E24" s="2" t="n">
        <x:f>COUNTIF('계약원자료'!$A$6:$A$305,D24)</x:f>
        <x:v>1</x:v>
      </x:c>
      <x:c r="F24" s="2"/>
    </x:row>
    <x:row r="25" ht="27" customHeight="1">
      <x:c r="A25" s="2"/>
      <x:c r="B25" s="2"/>
      <x:c r="C25" s="2"/>
      <x:c r="D25" s="2" t="str">
        <x:f>'계약원자료'!A25</x:f>
        <x:v>SIM-2025-0020</x:v>
      </x:c>
      <x:c r="E25" s="2" t="n">
        <x:f>COUNTIF('계약원자료'!$A$6:$A$305,D25)</x:f>
        <x:v>1</x:v>
      </x:c>
      <x:c r="F25" s="2"/>
    </x:row>
    <x:row r="26" ht="27" customHeight="1">
      <x:c r="A26" s="2"/>
      <x:c r="B26" s="2"/>
      <x:c r="C26" s="2"/>
      <x:c r="D26" s="2" t="str">
        <x:f>'계약원자료'!A26</x:f>
        <x:v>SIM-2025-0021</x:v>
      </x:c>
      <x:c r="E26" s="2" t="n">
        <x:f>COUNTIF('계약원자료'!$A$6:$A$305,D26)</x:f>
        <x:v>1</x:v>
      </x:c>
      <x:c r="F26" s="2"/>
    </x:row>
    <x:row r="27" ht="27" customHeight="1">
      <x:c r="A27" s="2"/>
      <x:c r="B27" s="2"/>
      <x:c r="C27" s="2"/>
      <x:c r="D27" s="2" t="str">
        <x:f>'계약원자료'!A27</x:f>
        <x:v>SIM-2025-0022</x:v>
      </x:c>
      <x:c r="E27" s="2" t="n">
        <x:f>COUNTIF('계약원자료'!$A$6:$A$305,D27)</x:f>
        <x:v>1</x:v>
      </x:c>
      <x:c r="F27" s="2"/>
    </x:row>
    <x:row r="28" ht="27" customHeight="1">
      <x:c r="A28" s="2"/>
      <x:c r="B28" s="2"/>
      <x:c r="C28" s="2"/>
      <x:c r="D28" s="2" t="str">
        <x:f>'계약원자료'!A28</x:f>
        <x:v>SIM-2025-0023</x:v>
      </x:c>
      <x:c r="E28" s="2" t="n">
        <x:f>COUNTIF('계약원자료'!$A$6:$A$305,D28)</x:f>
        <x:v>1</x:v>
      </x:c>
      <x:c r="F28" s="2"/>
    </x:row>
    <x:row r="29" ht="27" customHeight="1">
      <x:c r="A29" s="2"/>
      <x:c r="B29" s="2"/>
      <x:c r="C29" s="2"/>
      <x:c r="D29" s="2" t="str">
        <x:f>'계약원자료'!A29</x:f>
        <x:v>SIM-2025-0024</x:v>
      </x:c>
      <x:c r="E29" s="2" t="n">
        <x:f>COUNTIF('계약원자료'!$A$6:$A$305,D29)</x:f>
        <x:v>1</x:v>
      </x:c>
      <x:c r="F29" s="2"/>
    </x:row>
    <x:row r="30" ht="27" customHeight="1">
      <x:c r="A30" s="2"/>
      <x:c r="B30" s="2"/>
      <x:c r="C30" s="2"/>
      <x:c r="D30" s="2" t="str">
        <x:f>'계약원자료'!A30</x:f>
        <x:v>SIM-2025-0025</x:v>
      </x:c>
      <x:c r="E30" s="2" t="n">
        <x:f>COUNTIF('계약원자료'!$A$6:$A$305,D30)</x:f>
        <x:v>1</x:v>
      </x:c>
      <x:c r="F30" s="2"/>
    </x:row>
    <x:row r="31" ht="27" customHeight="1">
      <x:c r="A31" s="2"/>
      <x:c r="B31" s="2"/>
      <x:c r="C31" s="2"/>
      <x:c r="D31" s="2" t="str">
        <x:f>'계약원자료'!A31</x:f>
        <x:v>SIM-2025-0026</x:v>
      </x:c>
      <x:c r="E31" s="2" t="n">
        <x:f>COUNTIF('계약원자료'!$A$6:$A$305,D31)</x:f>
        <x:v>1</x:v>
      </x:c>
      <x:c r="F31" s="2"/>
    </x:row>
    <x:row r="32" ht="27" customHeight="1">
      <x:c r="A32" s="2"/>
      <x:c r="B32" s="2"/>
      <x:c r="C32" s="2"/>
      <x:c r="D32" s="2" t="str">
        <x:f>'계약원자료'!A32</x:f>
        <x:v>SIM-2025-0027</x:v>
      </x:c>
      <x:c r="E32" s="2" t="n">
        <x:f>COUNTIF('계약원자료'!$A$6:$A$305,D32)</x:f>
        <x:v>1</x:v>
      </x:c>
      <x:c r="F32" s="2"/>
    </x:row>
    <x:row r="33" ht="27" customHeight="1">
      <x:c r="A33" s="2"/>
      <x:c r="B33" s="2"/>
      <x:c r="C33" s="2"/>
      <x:c r="D33" s="2" t="str">
        <x:f>'계약원자료'!A33</x:f>
        <x:v>SIM-2025-0028</x:v>
      </x:c>
      <x:c r="E33" s="2" t="n">
        <x:f>COUNTIF('계약원자료'!$A$6:$A$305,D33)</x:f>
        <x:v>1</x:v>
      </x:c>
      <x:c r="F33" s="2"/>
    </x:row>
    <x:row r="34" ht="27" customHeight="1">
      <x:c r="A34" s="2"/>
      <x:c r="B34" s="2"/>
      <x:c r="C34" s="2"/>
      <x:c r="D34" s="2" t="str">
        <x:f>'계약원자료'!A34</x:f>
        <x:v>SIM-2025-0029</x:v>
      </x:c>
      <x:c r="E34" s="2" t="n">
        <x:f>COUNTIF('계약원자료'!$A$6:$A$305,D34)</x:f>
        <x:v>1</x:v>
      </x:c>
      <x:c r="F34" s="2"/>
    </x:row>
    <x:row r="35" ht="27" customHeight="1">
      <x:c r="A35" s="2"/>
      <x:c r="B35" s="2"/>
      <x:c r="C35" s="2"/>
      <x:c r="D35" s="2" t="str">
        <x:f>'계약원자료'!A35</x:f>
        <x:v>SIM-2025-0030</x:v>
      </x:c>
      <x:c r="E35" s="2" t="n">
        <x:f>COUNTIF('계약원자료'!$A$6:$A$305,D35)</x:f>
        <x:v>1</x:v>
      </x:c>
      <x:c r="F35" s="2"/>
    </x:row>
    <x:row r="36" ht="27" customHeight="1">
      <x:c r="A36" s="2"/>
      <x:c r="B36" s="2"/>
      <x:c r="C36" s="2"/>
      <x:c r="D36" s="2" t="str">
        <x:f>'계약원자료'!A36</x:f>
        <x:v>SIM-2025-0031</x:v>
      </x:c>
      <x:c r="E36" s="2" t="n">
        <x:f>COUNTIF('계약원자료'!$A$6:$A$305,D36)</x:f>
        <x:v>1</x:v>
      </x:c>
      <x:c r="F36" s="2"/>
    </x:row>
    <x:row r="37" ht="27" customHeight="1">
      <x:c r="A37" s="2"/>
      <x:c r="B37" s="2"/>
      <x:c r="C37" s="2"/>
      <x:c r="D37" s="2" t="str">
        <x:f>'계약원자료'!A37</x:f>
        <x:v>SIM-2025-0032</x:v>
      </x:c>
      <x:c r="E37" s="2" t="n">
        <x:f>COUNTIF('계약원자료'!$A$6:$A$305,D37)</x:f>
        <x:v>1</x:v>
      </x:c>
      <x:c r="F37" s="2"/>
    </x:row>
    <x:row r="38" ht="27" customHeight="1">
      <x:c r="A38" s="2"/>
      <x:c r="B38" s="2"/>
      <x:c r="C38" s="2"/>
      <x:c r="D38" s="2" t="str">
        <x:f>'계약원자료'!A38</x:f>
        <x:v>SIM-2025-0033</x:v>
      </x:c>
      <x:c r="E38" s="2" t="n">
        <x:f>COUNTIF('계약원자료'!$A$6:$A$305,D38)</x:f>
        <x:v>1</x:v>
      </x:c>
      <x:c r="F38" s="2"/>
    </x:row>
    <x:row r="39" ht="27" customHeight="1">
      <x:c r="A39" s="2"/>
      <x:c r="B39" s="2"/>
      <x:c r="C39" s="2"/>
      <x:c r="D39" s="2" t="str">
        <x:f>'계약원자료'!A39</x:f>
        <x:v>SIM-2025-0034</x:v>
      </x:c>
      <x:c r="E39" s="2" t="n">
        <x:f>COUNTIF('계약원자료'!$A$6:$A$305,D39)</x:f>
        <x:v>1</x:v>
      </x:c>
      <x:c r="F39" s="2"/>
    </x:row>
    <x:row r="40" ht="27" customHeight="1">
      <x:c r="A40" s="2"/>
      <x:c r="B40" s="2"/>
      <x:c r="C40" s="2"/>
      <x:c r="D40" s="2" t="str">
        <x:f>'계약원자료'!A40</x:f>
        <x:v>SIM-2025-0035</x:v>
      </x:c>
      <x:c r="E40" s="2" t="n">
        <x:f>COUNTIF('계약원자료'!$A$6:$A$305,D40)</x:f>
        <x:v>1</x:v>
      </x:c>
      <x:c r="F40" s="2"/>
    </x:row>
    <x:row r="41" ht="27" customHeight="1">
      <x:c r="A41" s="2"/>
      <x:c r="B41" s="2"/>
      <x:c r="C41" s="2"/>
      <x:c r="D41" s="2" t="str">
        <x:f>'계약원자료'!A41</x:f>
        <x:v>SIM-2025-0036</x:v>
      </x:c>
      <x:c r="E41" s="2" t="n">
        <x:f>COUNTIF('계약원자료'!$A$6:$A$305,D41)</x:f>
        <x:v>1</x:v>
      </x:c>
      <x:c r="F41" s="2"/>
    </x:row>
    <x:row r="42" ht="27" customHeight="1">
      <x:c r="A42" s="2"/>
      <x:c r="B42" s="2"/>
      <x:c r="C42" s="2"/>
      <x:c r="D42" s="2" t="str">
        <x:f>'계약원자료'!A42</x:f>
        <x:v>SIM-2025-0037</x:v>
      </x:c>
      <x:c r="E42" s="2" t="n">
        <x:f>COUNTIF('계약원자료'!$A$6:$A$305,D42)</x:f>
        <x:v>1</x:v>
      </x:c>
      <x:c r="F42" s="2"/>
    </x:row>
    <x:row r="43" ht="27" customHeight="1">
      <x:c r="A43" s="2"/>
      <x:c r="B43" s="2"/>
      <x:c r="C43" s="2"/>
      <x:c r="D43" s="2" t="str">
        <x:f>'계약원자료'!A43</x:f>
        <x:v>SIM-2025-0038</x:v>
      </x:c>
      <x:c r="E43" s="2" t="n">
        <x:f>COUNTIF('계약원자료'!$A$6:$A$305,D43)</x:f>
        <x:v>1</x:v>
      </x:c>
      <x:c r="F43" s="2"/>
    </x:row>
    <x:row r="44" ht="27" customHeight="1">
      <x:c r="A44" s="2"/>
      <x:c r="B44" s="2"/>
      <x:c r="C44" s="2"/>
      <x:c r="D44" s="2" t="str">
        <x:f>'계약원자료'!A44</x:f>
        <x:v>SIM-2025-0039</x:v>
      </x:c>
      <x:c r="E44" s="2" t="n">
        <x:f>COUNTIF('계약원자료'!$A$6:$A$305,D44)</x:f>
        <x:v>1</x:v>
      </x:c>
      <x:c r="F44" s="2"/>
    </x:row>
    <x:row r="45" ht="27" customHeight="1">
      <x:c r="A45" s="2"/>
      <x:c r="B45" s="2"/>
      <x:c r="C45" s="2"/>
      <x:c r="D45" s="2" t="str">
        <x:f>'계약원자료'!A45</x:f>
        <x:v>SIM-2025-0040</x:v>
      </x:c>
      <x:c r="E45" s="2" t="n">
        <x:f>COUNTIF('계약원자료'!$A$6:$A$305,D45)</x:f>
        <x:v>1</x:v>
      </x:c>
      <x:c r="F45" s="2"/>
    </x:row>
    <x:row r="46" ht="27" customHeight="1">
      <x:c r="A46" s="2"/>
      <x:c r="B46" s="2"/>
      <x:c r="C46" s="2"/>
      <x:c r="D46" s="2" t="str">
        <x:f>'계약원자료'!A46</x:f>
        <x:v>SIM-2025-0041</x:v>
      </x:c>
      <x:c r="E46" s="2" t="n">
        <x:f>COUNTIF('계약원자료'!$A$6:$A$305,D46)</x:f>
        <x:v>1</x:v>
      </x:c>
      <x:c r="F46" s="2"/>
    </x:row>
    <x:row r="47" ht="27" customHeight="1">
      <x:c r="A47" s="2"/>
      <x:c r="B47" s="2"/>
      <x:c r="C47" s="2"/>
      <x:c r="D47" s="2" t="str">
        <x:f>'계약원자료'!A47</x:f>
        <x:v>SIM-2025-0042</x:v>
      </x:c>
      <x:c r="E47" s="2" t="n">
        <x:f>COUNTIF('계약원자료'!$A$6:$A$305,D47)</x:f>
        <x:v>1</x:v>
      </x:c>
      <x:c r="F47" s="2"/>
    </x:row>
    <x:row r="48" ht="27" customHeight="1">
      <x:c r="A48" s="2"/>
      <x:c r="B48" s="2"/>
      <x:c r="C48" s="2"/>
      <x:c r="D48" s="2" t="str">
        <x:f>'계약원자료'!A48</x:f>
        <x:v>SIM-2025-0043</x:v>
      </x:c>
      <x:c r="E48" s="2" t="n">
        <x:f>COUNTIF('계약원자료'!$A$6:$A$305,D48)</x:f>
        <x:v>1</x:v>
      </x:c>
      <x:c r="F48" s="2"/>
    </x:row>
    <x:row r="49" ht="27" customHeight="1">
      <x:c r="A49" s="2"/>
      <x:c r="B49" s="2"/>
      <x:c r="C49" s="2"/>
      <x:c r="D49" s="2" t="str">
        <x:f>'계약원자료'!A49</x:f>
        <x:v>SIM-2025-0044</x:v>
      </x:c>
      <x:c r="E49" s="2" t="n">
        <x:f>COUNTIF('계약원자료'!$A$6:$A$305,D49)</x:f>
        <x:v>1</x:v>
      </x:c>
      <x:c r="F49" s="2"/>
    </x:row>
    <x:row r="50" ht="27" customHeight="1">
      <x:c r="A50" s="2"/>
      <x:c r="B50" s="2"/>
      <x:c r="C50" s="2"/>
      <x:c r="D50" s="2" t="str">
        <x:f>'계약원자료'!A50</x:f>
        <x:v>SIM-2025-0045</x:v>
      </x:c>
      <x:c r="E50" s="2" t="n">
        <x:f>COUNTIF('계약원자료'!$A$6:$A$305,D50)</x:f>
        <x:v>1</x:v>
      </x:c>
      <x:c r="F50" s="2"/>
    </x:row>
    <x:row r="51" ht="27" customHeight="1">
      <x:c r="A51" s="2"/>
      <x:c r="B51" s="2"/>
      <x:c r="C51" s="2"/>
      <x:c r="D51" s="2" t="str">
        <x:f>'계약원자료'!A51</x:f>
        <x:v>SIM-2025-0046</x:v>
      </x:c>
      <x:c r="E51" s="2" t="n">
        <x:f>COUNTIF('계약원자료'!$A$6:$A$305,D51)</x:f>
        <x:v>1</x:v>
      </x:c>
      <x:c r="F51" s="2"/>
    </x:row>
    <x:row r="52" ht="27" customHeight="1">
      <x:c r="A52" s="2"/>
      <x:c r="B52" s="2"/>
      <x:c r="C52" s="2"/>
      <x:c r="D52" s="2" t="str">
        <x:f>'계약원자료'!A52</x:f>
        <x:v>SIM-2025-0047</x:v>
      </x:c>
      <x:c r="E52" s="2" t="n">
        <x:f>COUNTIF('계약원자료'!$A$6:$A$305,D52)</x:f>
        <x:v>1</x:v>
      </x:c>
      <x:c r="F52" s="2"/>
    </x:row>
    <x:row r="53" ht="27" customHeight="1">
      <x:c r="A53" s="2"/>
      <x:c r="B53" s="2"/>
      <x:c r="C53" s="2"/>
      <x:c r="D53" s="2" t="str">
        <x:f>'계약원자료'!A53</x:f>
        <x:v>SIM-2025-0048</x:v>
      </x:c>
      <x:c r="E53" s="2" t="n">
        <x:f>COUNTIF('계약원자료'!$A$6:$A$305,D53)</x:f>
        <x:v>1</x:v>
      </x:c>
      <x:c r="F53" s="2"/>
    </x:row>
    <x:row r="54" ht="27" customHeight="1">
      <x:c r="A54" s="2"/>
      <x:c r="B54" s="2"/>
      <x:c r="C54" s="2"/>
      <x:c r="D54" s="2" t="str">
        <x:f>'계약원자료'!A54</x:f>
        <x:v>SIM-2025-0049</x:v>
      </x:c>
      <x:c r="E54" s="2" t="n">
        <x:f>COUNTIF('계약원자료'!$A$6:$A$305,D54)</x:f>
        <x:v>1</x:v>
      </x:c>
      <x:c r="F54" s="2"/>
    </x:row>
    <x:row r="55" ht="27" customHeight="1">
      <x:c r="A55" s="2"/>
      <x:c r="B55" s="2"/>
      <x:c r="C55" s="2"/>
      <x:c r="D55" s="2" t="str">
        <x:f>'계약원자료'!A55</x:f>
        <x:v>SIM-2025-0050</x:v>
      </x:c>
      <x:c r="E55" s="2" t="n">
        <x:f>COUNTIF('계약원자료'!$A$6:$A$305,D55)</x:f>
        <x:v>1</x:v>
      </x:c>
      <x:c r="F55" s="2"/>
    </x:row>
    <x:row r="56" ht="27" customHeight="1">
      <x:c r="A56" s="2"/>
      <x:c r="B56" s="2"/>
      <x:c r="C56" s="2"/>
      <x:c r="D56" s="2" t="str">
        <x:f>'계약원자료'!A56</x:f>
        <x:v>SIM-2025-0051</x:v>
      </x:c>
      <x:c r="E56" s="2" t="n">
        <x:f>COUNTIF('계약원자료'!$A$6:$A$305,D56)</x:f>
        <x:v>1</x:v>
      </x:c>
      <x:c r="F56" s="2"/>
    </x:row>
    <x:row r="57" ht="27" customHeight="1">
      <x:c r="A57" s="2"/>
      <x:c r="B57" s="2"/>
      <x:c r="C57" s="2"/>
      <x:c r="D57" s="2" t="str">
        <x:f>'계약원자료'!A57</x:f>
        <x:v>SIM-2025-0052</x:v>
      </x:c>
      <x:c r="E57" s="2" t="n">
        <x:f>COUNTIF('계약원자료'!$A$6:$A$305,D57)</x:f>
        <x:v>1</x:v>
      </x:c>
      <x:c r="F57" s="2"/>
    </x:row>
    <x:row r="58" ht="27" customHeight="1">
      <x:c r="A58" s="2"/>
      <x:c r="B58" s="2"/>
      <x:c r="C58" s="2"/>
      <x:c r="D58" s="2" t="str">
        <x:f>'계약원자료'!A58</x:f>
        <x:v>SIM-2025-0053</x:v>
      </x:c>
      <x:c r="E58" s="2" t="n">
        <x:f>COUNTIF('계약원자료'!$A$6:$A$305,D58)</x:f>
        <x:v>1</x:v>
      </x:c>
      <x:c r="F58" s="2"/>
    </x:row>
    <x:row r="59" ht="27" customHeight="1">
      <x:c r="A59" s="2"/>
      <x:c r="B59" s="2"/>
      <x:c r="C59" s="2"/>
      <x:c r="D59" s="2" t="str">
        <x:f>'계약원자료'!A59</x:f>
        <x:v>SIM-2025-0054</x:v>
      </x:c>
      <x:c r="E59" s="2" t="n">
        <x:f>COUNTIF('계약원자료'!$A$6:$A$305,D59)</x:f>
        <x:v>1</x:v>
      </x:c>
      <x:c r="F59" s="2"/>
    </x:row>
    <x:row r="60" ht="27" customHeight="1">
      <x:c r="A60" s="2"/>
      <x:c r="B60" s="2"/>
      <x:c r="C60" s="2"/>
      <x:c r="D60" s="2" t="str">
        <x:f>'계약원자료'!A60</x:f>
        <x:v>SIM-2025-0055</x:v>
      </x:c>
      <x:c r="E60" s="2" t="n">
        <x:f>COUNTIF('계약원자료'!$A$6:$A$305,D60)</x:f>
        <x:v>1</x:v>
      </x:c>
      <x:c r="F60" s="2"/>
    </x:row>
    <x:row r="61" ht="27" customHeight="1">
      <x:c r="A61" s="2"/>
      <x:c r="B61" s="2"/>
      <x:c r="C61" s="2"/>
      <x:c r="D61" s="2" t="str">
        <x:f>'계약원자료'!A61</x:f>
        <x:v>SIM-2025-0056</x:v>
      </x:c>
      <x:c r="E61" s="2" t="n">
        <x:f>COUNTIF('계약원자료'!$A$6:$A$305,D61)</x:f>
        <x:v>1</x:v>
      </x:c>
      <x:c r="F61" s="2"/>
    </x:row>
    <x:row r="62" ht="27" customHeight="1">
      <x:c r="A62" s="2"/>
      <x:c r="B62" s="2"/>
      <x:c r="C62" s="2"/>
      <x:c r="D62" s="2" t="str">
        <x:f>'계약원자료'!A62</x:f>
        <x:v>SIM-2025-0057</x:v>
      </x:c>
      <x:c r="E62" s="2" t="n">
        <x:f>COUNTIF('계약원자료'!$A$6:$A$305,D62)</x:f>
        <x:v>1</x:v>
      </x:c>
      <x:c r="F62" s="2"/>
    </x:row>
    <x:row r="63" ht="27" customHeight="1">
      <x:c r="A63" s="2"/>
      <x:c r="B63" s="2"/>
      <x:c r="C63" s="2"/>
      <x:c r="D63" s="2" t="str">
        <x:f>'계약원자료'!A63</x:f>
        <x:v>SIM-2025-0058</x:v>
      </x:c>
      <x:c r="E63" s="2" t="n">
        <x:f>COUNTIF('계약원자료'!$A$6:$A$305,D63)</x:f>
        <x:v>1</x:v>
      </x:c>
      <x:c r="F63" s="2"/>
    </x:row>
    <x:row r="64" ht="27" customHeight="1">
      <x:c r="A64" s="2"/>
      <x:c r="B64" s="2"/>
      <x:c r="C64" s="2"/>
      <x:c r="D64" s="2" t="str">
        <x:f>'계약원자료'!A64</x:f>
        <x:v>SIM-2025-0059</x:v>
      </x:c>
      <x:c r="E64" s="2" t="n">
        <x:f>COUNTIF('계약원자료'!$A$6:$A$305,D64)</x:f>
        <x:v>1</x:v>
      </x:c>
      <x:c r="F64" s="2"/>
    </x:row>
    <x:row r="65" ht="27" customHeight="1">
      <x:c r="A65" s="2"/>
      <x:c r="B65" s="2"/>
      <x:c r="C65" s="2"/>
      <x:c r="D65" s="2" t="str">
        <x:f>'계약원자료'!A65</x:f>
        <x:v>SIM-2025-0060</x:v>
      </x:c>
      <x:c r="E65" s="2" t="n">
        <x:f>COUNTIF('계약원자료'!$A$6:$A$305,D65)</x:f>
        <x:v>1</x:v>
      </x:c>
      <x:c r="F65" s="2"/>
    </x:row>
    <x:row r="66" ht="27" customHeight="1">
      <x:c r="A66" s="2"/>
      <x:c r="B66" s="2"/>
      <x:c r="C66" s="2"/>
      <x:c r="D66" s="2" t="str">
        <x:f>'계약원자료'!A66</x:f>
        <x:v>SIM-2025-0061</x:v>
      </x:c>
      <x:c r="E66" s="2" t="n">
        <x:f>COUNTIF('계약원자료'!$A$6:$A$305,D66)</x:f>
        <x:v>1</x:v>
      </x:c>
      <x:c r="F66" s="2"/>
    </x:row>
    <x:row r="67" ht="27" customHeight="1">
      <x:c r="A67" s="2"/>
      <x:c r="B67" s="2"/>
      <x:c r="C67" s="2"/>
      <x:c r="D67" s="2" t="str">
        <x:f>'계약원자료'!A67</x:f>
        <x:v>SIM-2025-0062</x:v>
      </x:c>
      <x:c r="E67" s="2" t="n">
        <x:f>COUNTIF('계약원자료'!$A$6:$A$305,D67)</x:f>
        <x:v>1</x:v>
      </x:c>
      <x:c r="F67" s="2"/>
    </x:row>
    <x:row r="68" ht="27" customHeight="1">
      <x:c r="A68" s="2"/>
      <x:c r="B68" s="2"/>
      <x:c r="C68" s="2"/>
      <x:c r="D68" s="2" t="str">
        <x:f>'계약원자료'!A68</x:f>
        <x:v>SIM-2025-0063</x:v>
      </x:c>
      <x:c r="E68" s="2" t="n">
        <x:f>COUNTIF('계약원자료'!$A$6:$A$305,D68)</x:f>
        <x:v>1</x:v>
      </x:c>
      <x:c r="F68" s="2"/>
    </x:row>
    <x:row r="69" ht="27" customHeight="1">
      <x:c r="A69" s="2"/>
      <x:c r="B69" s="2"/>
      <x:c r="C69" s="2"/>
      <x:c r="D69" s="2" t="str">
        <x:f>'계약원자료'!A69</x:f>
        <x:v>SIM-2025-0064</x:v>
      </x:c>
      <x:c r="E69" s="2" t="n">
        <x:f>COUNTIF('계약원자료'!$A$6:$A$305,D69)</x:f>
        <x:v>1</x:v>
      </x:c>
      <x:c r="F69" s="2"/>
    </x:row>
    <x:row r="70" ht="27" customHeight="1">
      <x:c r="A70" s="2"/>
      <x:c r="B70" s="2"/>
      <x:c r="C70" s="2"/>
      <x:c r="D70" s="2" t="str">
        <x:f>'계약원자료'!A70</x:f>
        <x:v>SIM-2025-0065</x:v>
      </x:c>
      <x:c r="E70" s="2" t="n">
        <x:f>COUNTIF('계약원자료'!$A$6:$A$305,D70)</x:f>
        <x:v>1</x:v>
      </x:c>
      <x:c r="F70" s="2"/>
    </x:row>
    <x:row r="71" ht="27" customHeight="1">
      <x:c r="A71" s="2"/>
      <x:c r="B71" s="2"/>
      <x:c r="C71" s="2"/>
      <x:c r="D71" s="2" t="str">
        <x:f>'계약원자료'!A71</x:f>
        <x:v>SIM-2025-0066</x:v>
      </x:c>
      <x:c r="E71" s="2" t="n">
        <x:f>COUNTIF('계약원자료'!$A$6:$A$305,D71)</x:f>
        <x:v>1</x:v>
      </x:c>
      <x:c r="F71" s="2"/>
    </x:row>
    <x:row r="72" ht="27" customHeight="1">
      <x:c r="A72" s="2"/>
      <x:c r="B72" s="2"/>
      <x:c r="C72" s="2"/>
      <x:c r="D72" s="2" t="str">
        <x:f>'계약원자료'!A72</x:f>
        <x:v>SIM-2025-0067</x:v>
      </x:c>
      <x:c r="E72" s="2" t="n">
        <x:f>COUNTIF('계약원자료'!$A$6:$A$305,D72)</x:f>
        <x:v>1</x:v>
      </x:c>
      <x:c r="F72" s="2"/>
    </x:row>
    <x:row r="73" ht="27" customHeight="1">
      <x:c r="A73" s="2"/>
      <x:c r="B73" s="2"/>
      <x:c r="C73" s="2"/>
      <x:c r="D73" s="2" t="str">
        <x:f>'계약원자료'!A73</x:f>
        <x:v>SIM-2025-0068</x:v>
      </x:c>
      <x:c r="E73" s="2" t="n">
        <x:f>COUNTIF('계약원자료'!$A$6:$A$305,D73)</x:f>
        <x:v>1</x:v>
      </x:c>
      <x:c r="F73" s="2"/>
    </x:row>
    <x:row r="74" ht="27" customHeight="1">
      <x:c r="A74" s="2"/>
      <x:c r="B74" s="2"/>
      <x:c r="C74" s="2"/>
      <x:c r="D74" s="2" t="str">
        <x:f>'계약원자료'!A74</x:f>
        <x:v>SIM-2025-0069</x:v>
      </x:c>
      <x:c r="E74" s="2" t="n">
        <x:f>COUNTIF('계약원자료'!$A$6:$A$305,D74)</x:f>
        <x:v>1</x:v>
      </x:c>
      <x:c r="F74" s="2"/>
    </x:row>
    <x:row r="75" ht="27" customHeight="1">
      <x:c r="A75" s="2"/>
      <x:c r="B75" s="2"/>
      <x:c r="C75" s="2"/>
      <x:c r="D75" s="2" t="str">
        <x:f>'계약원자료'!A75</x:f>
        <x:v>SIM-2025-0070</x:v>
      </x:c>
      <x:c r="E75" s="2" t="n">
        <x:f>COUNTIF('계약원자료'!$A$6:$A$305,D75)</x:f>
        <x:v>1</x:v>
      </x:c>
      <x:c r="F75" s="2"/>
    </x:row>
    <x:row r="76" ht="27" customHeight="1">
      <x:c r="A76" s="2"/>
      <x:c r="B76" s="2"/>
      <x:c r="C76" s="2"/>
      <x:c r="D76" s="2" t="str">
        <x:f>'계약원자료'!A76</x:f>
        <x:v>SIM-2025-0071</x:v>
      </x:c>
      <x:c r="E76" s="2" t="n">
        <x:f>COUNTIF('계약원자료'!$A$6:$A$305,D76)</x:f>
        <x:v>1</x:v>
      </x:c>
      <x:c r="F76" s="2"/>
    </x:row>
    <x:row r="77" ht="27" customHeight="1">
      <x:c r="A77" s="2"/>
      <x:c r="B77" s="2"/>
      <x:c r="C77" s="2"/>
      <x:c r="D77" s="2" t="str">
        <x:f>'계약원자료'!A77</x:f>
        <x:v>SIM-2025-0072</x:v>
      </x:c>
      <x:c r="E77" s="2" t="n">
        <x:f>COUNTIF('계약원자료'!$A$6:$A$305,D77)</x:f>
        <x:v>1</x:v>
      </x:c>
      <x:c r="F77" s="2"/>
    </x:row>
    <x:row r="78" ht="27" customHeight="1">
      <x:c r="A78" s="2"/>
      <x:c r="B78" s="2"/>
      <x:c r="C78" s="2"/>
      <x:c r="D78" s="2" t="str">
        <x:f>'계약원자료'!A78</x:f>
        <x:v>SIM-2025-0073</x:v>
      </x:c>
      <x:c r="E78" s="2" t="n">
        <x:f>COUNTIF('계약원자료'!$A$6:$A$305,D78)</x:f>
        <x:v>1</x:v>
      </x:c>
      <x:c r="F78" s="2"/>
    </x:row>
    <x:row r="79" ht="27" customHeight="1">
      <x:c r="A79" s="2"/>
      <x:c r="B79" s="2"/>
      <x:c r="C79" s="2"/>
      <x:c r="D79" s="2" t="str">
        <x:f>'계약원자료'!A79</x:f>
        <x:v>SIM-2025-0074</x:v>
      </x:c>
      <x:c r="E79" s="2" t="n">
        <x:f>COUNTIF('계약원자료'!$A$6:$A$305,D79)</x:f>
        <x:v>1</x:v>
      </x:c>
      <x:c r="F79" s="2"/>
    </x:row>
    <x:row r="80" ht="27" customHeight="1">
      <x:c r="A80" s="2"/>
      <x:c r="B80" s="2"/>
      <x:c r="C80" s="2"/>
      <x:c r="D80" s="2" t="str">
        <x:f>'계약원자료'!A80</x:f>
        <x:v>SIM-2025-0075</x:v>
      </x:c>
      <x:c r="E80" s="2" t="n">
        <x:f>COUNTIF('계약원자료'!$A$6:$A$305,D80)</x:f>
        <x:v>1</x:v>
      </x:c>
      <x:c r="F80" s="2"/>
    </x:row>
    <x:row r="81" ht="27" customHeight="1">
      <x:c r="A81" s="2"/>
      <x:c r="B81" s="2"/>
      <x:c r="C81" s="2"/>
      <x:c r="D81" s="2" t="str">
        <x:f>'계약원자료'!A81</x:f>
        <x:v>SIM-2025-0076</x:v>
      </x:c>
      <x:c r="E81" s="2" t="n">
        <x:f>COUNTIF('계약원자료'!$A$6:$A$305,D81)</x:f>
        <x:v>1</x:v>
      </x:c>
      <x:c r="F81" s="2"/>
    </x:row>
    <x:row r="82" ht="27" customHeight="1">
      <x:c r="A82" s="2"/>
      <x:c r="B82" s="2"/>
      <x:c r="C82" s="2"/>
      <x:c r="D82" s="2" t="str">
        <x:f>'계약원자료'!A82</x:f>
        <x:v>SIM-2025-0077</x:v>
      </x:c>
      <x:c r="E82" s="2" t="n">
        <x:f>COUNTIF('계약원자료'!$A$6:$A$305,D82)</x:f>
        <x:v>1</x:v>
      </x:c>
      <x:c r="F82" s="2"/>
    </x:row>
    <x:row r="83" ht="27" customHeight="1">
      <x:c r="A83" s="2"/>
      <x:c r="B83" s="2"/>
      <x:c r="C83" s="2"/>
      <x:c r="D83" s="2" t="str">
        <x:f>'계약원자료'!A83</x:f>
        <x:v>SIM-2025-0078</x:v>
      </x:c>
      <x:c r="E83" s="2" t="n">
        <x:f>COUNTIF('계약원자료'!$A$6:$A$305,D83)</x:f>
        <x:v>1</x:v>
      </x:c>
      <x:c r="F83" s="2"/>
    </x:row>
    <x:row r="84" ht="27" customHeight="1">
      <x:c r="A84" s="2"/>
      <x:c r="B84" s="2"/>
      <x:c r="C84" s="2"/>
      <x:c r="D84" s="2" t="str">
        <x:f>'계약원자료'!A84</x:f>
        <x:v>SIM-2025-0079</x:v>
      </x:c>
      <x:c r="E84" s="2" t="n">
        <x:f>COUNTIF('계약원자료'!$A$6:$A$305,D84)</x:f>
        <x:v>1</x:v>
      </x:c>
      <x:c r="F84" s="2"/>
    </x:row>
    <x:row r="85" ht="27" customHeight="1">
      <x:c r="A85" s="2"/>
      <x:c r="B85" s="2"/>
      <x:c r="C85" s="2"/>
      <x:c r="D85" s="2" t="str">
        <x:f>'계약원자료'!A85</x:f>
        <x:v>SIM-2025-0080</x:v>
      </x:c>
      <x:c r="E85" s="2" t="n">
        <x:f>COUNTIF('계약원자료'!$A$6:$A$305,D85)</x:f>
        <x:v>1</x:v>
      </x:c>
      <x:c r="F85" s="2"/>
    </x:row>
    <x:row r="86" ht="27" customHeight="1">
      <x:c r="A86" s="2"/>
      <x:c r="B86" s="2"/>
      <x:c r="C86" s="2"/>
      <x:c r="D86" s="2" t="str">
        <x:f>'계약원자료'!A86</x:f>
        <x:v>SIM-2025-0081</x:v>
      </x:c>
      <x:c r="E86" s="2" t="n">
        <x:f>COUNTIF('계약원자료'!$A$6:$A$305,D86)</x:f>
        <x:v>1</x:v>
      </x:c>
      <x:c r="F86" s="2"/>
    </x:row>
    <x:row r="87" ht="27" customHeight="1">
      <x:c r="A87" s="2"/>
      <x:c r="B87" s="2"/>
      <x:c r="C87" s="2"/>
      <x:c r="D87" s="2" t="str">
        <x:f>'계약원자료'!A87</x:f>
        <x:v>SIM-2025-0082</x:v>
      </x:c>
      <x:c r="E87" s="2" t="n">
        <x:f>COUNTIF('계약원자료'!$A$6:$A$305,D87)</x:f>
        <x:v>1</x:v>
      </x:c>
      <x:c r="F87" s="2"/>
    </x:row>
    <x:row r="88" ht="27" customHeight="1">
      <x:c r="A88" s="2"/>
      <x:c r="B88" s="2"/>
      <x:c r="C88" s="2"/>
      <x:c r="D88" s="2" t="str">
        <x:f>'계약원자료'!A88</x:f>
        <x:v>SIM-2025-0083</x:v>
      </x:c>
      <x:c r="E88" s="2" t="n">
        <x:f>COUNTIF('계약원자료'!$A$6:$A$305,D88)</x:f>
        <x:v>1</x:v>
      </x:c>
      <x:c r="F88" s="2"/>
    </x:row>
    <x:row r="89" ht="27" customHeight="1">
      <x:c r="A89" s="2"/>
      <x:c r="B89" s="2"/>
      <x:c r="C89" s="2"/>
      <x:c r="D89" s="2" t="str">
        <x:f>'계약원자료'!A89</x:f>
        <x:v>SIM-2025-0084</x:v>
      </x:c>
      <x:c r="E89" s="2" t="n">
        <x:f>COUNTIF('계약원자료'!$A$6:$A$305,D89)</x:f>
        <x:v>1</x:v>
      </x:c>
      <x:c r="F89" s="2"/>
    </x:row>
    <x:row r="90" ht="27" customHeight="1">
      <x:c r="A90" s="2"/>
      <x:c r="B90" s="2"/>
      <x:c r="C90" s="2"/>
      <x:c r="D90" s="2" t="str">
        <x:f>'계약원자료'!A90</x:f>
        <x:v>SIM-2025-0085</x:v>
      </x:c>
      <x:c r="E90" s="2" t="n">
        <x:f>COUNTIF('계약원자료'!$A$6:$A$305,D90)</x:f>
        <x:v>1</x:v>
      </x:c>
      <x:c r="F90" s="2"/>
    </x:row>
    <x:row r="91" ht="27" customHeight="1">
      <x:c r="A91" s="2"/>
      <x:c r="B91" s="2"/>
      <x:c r="C91" s="2"/>
      <x:c r="D91" s="2" t="str">
        <x:f>'계약원자료'!A91</x:f>
        <x:v>SIM-2025-0086</x:v>
      </x:c>
      <x:c r="E91" s="2" t="n">
        <x:f>COUNTIF('계약원자료'!$A$6:$A$305,D91)</x:f>
        <x:v>1</x:v>
      </x:c>
      <x:c r="F91" s="2"/>
    </x:row>
    <x:row r="92" ht="27" customHeight="1">
      <x:c r="A92" s="2"/>
      <x:c r="B92" s="2"/>
      <x:c r="C92" s="2"/>
      <x:c r="D92" s="2" t="str">
        <x:f>'계약원자료'!A92</x:f>
        <x:v>SIM-2025-0087</x:v>
      </x:c>
      <x:c r="E92" s="2" t="n">
        <x:f>COUNTIF('계약원자료'!$A$6:$A$305,D92)</x:f>
        <x:v>1</x:v>
      </x:c>
      <x:c r="F92" s="2"/>
    </x:row>
    <x:row r="93" ht="27" customHeight="1">
      <x:c r="A93" s="2"/>
      <x:c r="B93" s="2"/>
      <x:c r="C93" s="2"/>
      <x:c r="D93" s="2" t="str">
        <x:f>'계약원자료'!A93</x:f>
        <x:v>SIM-2025-0088</x:v>
      </x:c>
      <x:c r="E93" s="2" t="n">
        <x:f>COUNTIF('계약원자료'!$A$6:$A$305,D93)</x:f>
        <x:v>1</x:v>
      </x:c>
      <x:c r="F93" s="2"/>
    </x:row>
    <x:row r="94" ht="27" customHeight="1">
      <x:c r="A94" s="2"/>
      <x:c r="B94" s="2"/>
      <x:c r="C94" s="2"/>
      <x:c r="D94" s="2" t="str">
        <x:f>'계약원자료'!A94</x:f>
        <x:v>SIM-2025-0089</x:v>
      </x:c>
      <x:c r="E94" s="2" t="n">
        <x:f>COUNTIF('계약원자료'!$A$6:$A$305,D94)</x:f>
        <x:v>1</x:v>
      </x:c>
      <x:c r="F94" s="2"/>
    </x:row>
    <x:row r="95" ht="27" customHeight="1">
      <x:c r="A95" s="2"/>
      <x:c r="B95" s="2"/>
      <x:c r="C95" s="2"/>
      <x:c r="D95" s="2" t="str">
        <x:f>'계약원자료'!A95</x:f>
        <x:v>SIM-2025-0090</x:v>
      </x:c>
      <x:c r="E95" s="2" t="n">
        <x:f>COUNTIF('계약원자료'!$A$6:$A$305,D95)</x:f>
        <x:v>1</x:v>
      </x:c>
      <x:c r="F95" s="2"/>
    </x:row>
    <x:row r="96" ht="27" customHeight="1">
      <x:c r="A96" s="2"/>
      <x:c r="B96" s="2"/>
      <x:c r="C96" s="2"/>
      <x:c r="D96" s="2" t="str">
        <x:f>'계약원자료'!A96</x:f>
        <x:v>SIM-2025-0091</x:v>
      </x:c>
      <x:c r="E96" s="2" t="n">
        <x:f>COUNTIF('계약원자료'!$A$6:$A$305,D96)</x:f>
        <x:v>1</x:v>
      </x:c>
      <x:c r="F96" s="2"/>
    </x:row>
    <x:row r="97" ht="27" customHeight="1">
      <x:c r="A97" s="2"/>
      <x:c r="B97" s="2"/>
      <x:c r="C97" s="2"/>
      <x:c r="D97" s="2" t="str">
        <x:f>'계약원자료'!A97</x:f>
        <x:v>SIM-2025-0092</x:v>
      </x:c>
      <x:c r="E97" s="2" t="n">
        <x:f>COUNTIF('계약원자료'!$A$6:$A$305,D97)</x:f>
        <x:v>1</x:v>
      </x:c>
      <x:c r="F97" s="2"/>
    </x:row>
    <x:row r="98" ht="27" customHeight="1">
      <x:c r="A98" s="2"/>
      <x:c r="B98" s="2"/>
      <x:c r="C98" s="2"/>
      <x:c r="D98" s="2" t="str">
        <x:f>'계약원자료'!A98</x:f>
        <x:v>SIM-2025-0093</x:v>
      </x:c>
      <x:c r="E98" s="2" t="n">
        <x:f>COUNTIF('계약원자료'!$A$6:$A$305,D98)</x:f>
        <x:v>1</x:v>
      </x:c>
      <x:c r="F98" s="2"/>
    </x:row>
    <x:row r="99" ht="27" customHeight="1">
      <x:c r="A99" s="2"/>
      <x:c r="B99" s="2"/>
      <x:c r="C99" s="2"/>
      <x:c r="D99" s="2" t="str">
        <x:f>'계약원자료'!A99</x:f>
        <x:v>SIM-2025-0094</x:v>
      </x:c>
      <x:c r="E99" s="2" t="n">
        <x:f>COUNTIF('계약원자료'!$A$6:$A$305,D99)</x:f>
        <x:v>1</x:v>
      </x:c>
      <x:c r="F99" s="2"/>
    </x:row>
    <x:row r="100" ht="27" customHeight="1">
      <x:c r="A100" s="2"/>
      <x:c r="B100" s="2"/>
      <x:c r="C100" s="2"/>
      <x:c r="D100" s="2" t="str">
        <x:f>'계약원자료'!A100</x:f>
        <x:v>SIM-2025-0095</x:v>
      </x:c>
      <x:c r="E100" s="2" t="n">
        <x:f>COUNTIF('계약원자료'!$A$6:$A$305,D100)</x:f>
        <x:v>1</x:v>
      </x:c>
      <x:c r="F100" s="2"/>
    </x:row>
    <x:row r="101" ht="27" customHeight="1">
      <x:c r="A101" s="2"/>
      <x:c r="B101" s="2"/>
      <x:c r="C101" s="2"/>
      <x:c r="D101" s="2" t="str">
        <x:f>'계약원자료'!A101</x:f>
        <x:v>SIM-2025-0096</x:v>
      </x:c>
      <x:c r="E101" s="2" t="n">
        <x:f>COUNTIF('계약원자료'!$A$6:$A$305,D101)</x:f>
        <x:v>1</x:v>
      </x:c>
      <x:c r="F101" s="2"/>
    </x:row>
    <x:row r="102" ht="27" customHeight="1">
      <x:c r="A102" s="2"/>
      <x:c r="B102" s="2"/>
      <x:c r="C102" s="2"/>
      <x:c r="D102" s="2" t="str">
        <x:f>'계약원자료'!A102</x:f>
        <x:v>SIM-2025-0097</x:v>
      </x:c>
      <x:c r="E102" s="2" t="n">
        <x:f>COUNTIF('계약원자료'!$A$6:$A$305,D102)</x:f>
        <x:v>1</x:v>
      </x:c>
      <x:c r="F102" s="2"/>
    </x:row>
    <x:row r="103" ht="27" customHeight="1">
      <x:c r="A103" s="2"/>
      <x:c r="B103" s="2"/>
      <x:c r="C103" s="2"/>
      <x:c r="D103" s="2" t="str">
        <x:f>'계약원자료'!A103</x:f>
        <x:v>SIM-2025-0098</x:v>
      </x:c>
      <x:c r="E103" s="2" t="n">
        <x:f>COUNTIF('계약원자료'!$A$6:$A$305,D103)</x:f>
        <x:v>1</x:v>
      </x:c>
      <x:c r="F103" s="2"/>
    </x:row>
    <x:row r="104" ht="27" customHeight="1">
      <x:c r="A104" s="2"/>
      <x:c r="B104" s="2"/>
      <x:c r="C104" s="2"/>
      <x:c r="D104" s="2" t="str">
        <x:f>'계약원자료'!A104</x:f>
        <x:v>SIM-2025-0099</x:v>
      </x:c>
      <x:c r="E104" s="2" t="n">
        <x:f>COUNTIF('계약원자료'!$A$6:$A$305,D104)</x:f>
        <x:v>1</x:v>
      </x:c>
      <x:c r="F104" s="2"/>
    </x:row>
    <x:row r="105" ht="27" customHeight="1">
      <x:c r="A105" s="2"/>
      <x:c r="B105" s="2"/>
      <x:c r="C105" s="2"/>
      <x:c r="D105" s="2" t="str">
        <x:f>'계약원자료'!A105</x:f>
        <x:v>SIM-2025-0100</x:v>
      </x:c>
      <x:c r="E105" s="2" t="n">
        <x:f>COUNTIF('계약원자료'!$A$6:$A$305,D105)</x:f>
        <x:v>1</x:v>
      </x:c>
      <x:c r="F105" s="2"/>
    </x:row>
    <x:row r="106" ht="27" customHeight="1">
      <x:c r="A106" s="2"/>
      <x:c r="B106" s="2"/>
      <x:c r="C106" s="2"/>
      <x:c r="D106" s="2" t="str">
        <x:f>'계약원자료'!A106</x:f>
        <x:v>SIM-2025-0101</x:v>
      </x:c>
      <x:c r="E106" s="2" t="n">
        <x:f>COUNTIF('계약원자료'!$A$6:$A$305,D106)</x:f>
        <x:v>1</x:v>
      </x:c>
      <x:c r="F106" s="2"/>
    </x:row>
    <x:row r="107" ht="27" customHeight="1">
      <x:c r="A107" s="2"/>
      <x:c r="B107" s="2"/>
      <x:c r="C107" s="2"/>
      <x:c r="D107" s="2" t="str">
        <x:f>'계약원자료'!A107</x:f>
        <x:v>SIM-2025-0102</x:v>
      </x:c>
      <x:c r="E107" s="2" t="n">
        <x:f>COUNTIF('계약원자료'!$A$6:$A$305,D107)</x:f>
        <x:v>1</x:v>
      </x:c>
      <x:c r="F107" s="2"/>
    </x:row>
    <x:row r="108" ht="27" customHeight="1">
      <x:c r="A108" s="2"/>
      <x:c r="B108" s="2"/>
      <x:c r="C108" s="2"/>
      <x:c r="D108" s="2" t="str">
        <x:f>'계약원자료'!A108</x:f>
        <x:v>SIM-2025-0103</x:v>
      </x:c>
      <x:c r="E108" s="2" t="n">
        <x:f>COUNTIF('계약원자료'!$A$6:$A$305,D108)</x:f>
        <x:v>1</x:v>
      </x:c>
      <x:c r="F108" s="2"/>
    </x:row>
    <x:row r="109" ht="27" customHeight="1">
      <x:c r="A109" s="2"/>
      <x:c r="B109" s="2"/>
      <x:c r="C109" s="2"/>
      <x:c r="D109" s="2" t="str">
        <x:f>'계약원자료'!A109</x:f>
        <x:v>SIM-2025-0104</x:v>
      </x:c>
      <x:c r="E109" s="2" t="n">
        <x:f>COUNTIF('계약원자료'!$A$6:$A$305,D109)</x:f>
        <x:v>1</x:v>
      </x:c>
      <x:c r="F109" s="2"/>
    </x:row>
    <x:row r="110" ht="27" customHeight="1">
      <x:c r="A110" s="2"/>
      <x:c r="B110" s="2"/>
      <x:c r="C110" s="2"/>
      <x:c r="D110" s="2" t="str">
        <x:f>'계약원자료'!A110</x:f>
        <x:v>SIM-2025-0105</x:v>
      </x:c>
      <x:c r="E110" s="2" t="n">
        <x:f>COUNTIF('계약원자료'!$A$6:$A$305,D110)</x:f>
        <x:v>1</x:v>
      </x:c>
      <x:c r="F110" s="2"/>
    </x:row>
    <x:row r="111" ht="27" customHeight="1">
      <x:c r="A111" s="2"/>
      <x:c r="B111" s="2"/>
      <x:c r="C111" s="2"/>
      <x:c r="D111" s="2" t="str">
        <x:f>'계약원자료'!A111</x:f>
        <x:v>SIM-2025-0106</x:v>
      </x:c>
      <x:c r="E111" s="2" t="n">
        <x:f>COUNTIF('계약원자료'!$A$6:$A$305,D111)</x:f>
        <x:v>1</x:v>
      </x:c>
      <x:c r="F111" s="2"/>
    </x:row>
    <x:row r="112" ht="27" customHeight="1">
      <x:c r="A112" s="2"/>
      <x:c r="B112" s="2"/>
      <x:c r="C112" s="2"/>
      <x:c r="D112" s="2" t="str">
        <x:f>'계약원자료'!A112</x:f>
        <x:v>SIM-2025-0107</x:v>
      </x:c>
      <x:c r="E112" s="2" t="n">
        <x:f>COUNTIF('계약원자료'!$A$6:$A$305,D112)</x:f>
        <x:v>1</x:v>
      </x:c>
      <x:c r="F112" s="2"/>
    </x:row>
    <x:row r="113" ht="27" customHeight="1">
      <x:c r="A113" s="2"/>
      <x:c r="B113" s="2"/>
      <x:c r="C113" s="2"/>
      <x:c r="D113" s="2" t="str">
        <x:f>'계약원자료'!A113</x:f>
        <x:v>SIM-2025-0108</x:v>
      </x:c>
      <x:c r="E113" s="2" t="n">
        <x:f>COUNTIF('계약원자료'!$A$6:$A$305,D113)</x:f>
        <x:v>1</x:v>
      </x:c>
      <x:c r="F113" s="2"/>
    </x:row>
    <x:row r="114" ht="27" customHeight="1">
      <x:c r="A114" s="2"/>
      <x:c r="B114" s="2"/>
      <x:c r="C114" s="2"/>
      <x:c r="D114" s="2" t="str">
        <x:f>'계약원자료'!A114</x:f>
        <x:v>SIM-2025-0109</x:v>
      </x:c>
      <x:c r="E114" s="2" t="n">
        <x:f>COUNTIF('계약원자료'!$A$6:$A$305,D114)</x:f>
        <x:v>1</x:v>
      </x:c>
      <x:c r="F114" s="2"/>
    </x:row>
    <x:row r="115" ht="27" customHeight="1">
      <x:c r="A115" s="2"/>
      <x:c r="B115" s="2"/>
      <x:c r="C115" s="2"/>
      <x:c r="D115" s="2" t="str">
        <x:f>'계약원자료'!A115</x:f>
        <x:v>SIM-2025-0110</x:v>
      </x:c>
      <x:c r="E115" s="2" t="n">
        <x:f>COUNTIF('계약원자료'!$A$6:$A$305,D115)</x:f>
        <x:v>1</x:v>
      </x:c>
      <x:c r="F115" s="2"/>
    </x:row>
    <x:row r="116" ht="27" customHeight="1">
      <x:c r="A116" s="2"/>
      <x:c r="B116" s="2"/>
      <x:c r="C116" s="2"/>
      <x:c r="D116" s="2" t="str">
        <x:f>'계약원자료'!A116</x:f>
        <x:v>SIM-2025-0111</x:v>
      </x:c>
      <x:c r="E116" s="2" t="n">
        <x:f>COUNTIF('계약원자료'!$A$6:$A$305,D116)</x:f>
        <x:v>1</x:v>
      </x:c>
      <x:c r="F116" s="2"/>
    </x:row>
    <x:row r="117" ht="27" customHeight="1">
      <x:c r="A117" s="2"/>
      <x:c r="B117" s="2"/>
      <x:c r="C117" s="2"/>
      <x:c r="D117" s="2" t="str">
        <x:f>'계약원자료'!A117</x:f>
        <x:v>SIM-2025-0112</x:v>
      </x:c>
      <x:c r="E117" s="2" t="n">
        <x:f>COUNTIF('계약원자료'!$A$6:$A$305,D117)</x:f>
        <x:v>1</x:v>
      </x:c>
      <x:c r="F117" s="2"/>
    </x:row>
    <x:row r="118" ht="27" customHeight="1">
      <x:c r="A118" s="2"/>
      <x:c r="B118" s="2"/>
      <x:c r="C118" s="2"/>
      <x:c r="D118" s="2" t="str">
        <x:f>'계약원자료'!A118</x:f>
        <x:v>SIM-2025-0113</x:v>
      </x:c>
      <x:c r="E118" s="2" t="n">
        <x:f>COUNTIF('계약원자료'!$A$6:$A$305,D118)</x:f>
        <x:v>1</x:v>
      </x:c>
      <x:c r="F118" s="2"/>
    </x:row>
    <x:row r="119" ht="27" customHeight="1">
      <x:c r="A119" s="2"/>
      <x:c r="B119" s="2"/>
      <x:c r="C119" s="2"/>
      <x:c r="D119" s="2" t="str">
        <x:f>'계약원자료'!A119</x:f>
        <x:v>SIM-2025-0114</x:v>
      </x:c>
      <x:c r="E119" s="2" t="n">
        <x:f>COUNTIF('계약원자료'!$A$6:$A$305,D119)</x:f>
        <x:v>1</x:v>
      </x:c>
      <x:c r="F119" s="2"/>
    </x:row>
    <x:row r="120" ht="27" customHeight="1">
      <x:c r="A120" s="2"/>
      <x:c r="B120" s="2"/>
      <x:c r="C120" s="2"/>
      <x:c r="D120" s="2" t="str">
        <x:f>'계약원자료'!A120</x:f>
        <x:v>SIM-2025-0115</x:v>
      </x:c>
      <x:c r="E120" s="2" t="n">
        <x:f>COUNTIF('계약원자료'!$A$6:$A$305,D120)</x:f>
        <x:v>1</x:v>
      </x:c>
      <x:c r="F120" s="2"/>
    </x:row>
    <x:row r="121" ht="27" customHeight="1">
      <x:c r="A121" s="2"/>
      <x:c r="B121" s="2"/>
      <x:c r="C121" s="2"/>
      <x:c r="D121" s="2" t="str">
        <x:f>'계약원자료'!A121</x:f>
        <x:v>SIM-2025-0116</x:v>
      </x:c>
      <x:c r="E121" s="2" t="n">
        <x:f>COUNTIF('계약원자료'!$A$6:$A$305,D121)</x:f>
        <x:v>1</x:v>
      </x:c>
      <x:c r="F121" s="2"/>
    </x:row>
    <x:row r="122" ht="27" customHeight="1">
      <x:c r="A122" s="2"/>
      <x:c r="B122" s="2"/>
      <x:c r="C122" s="2"/>
      <x:c r="D122" s="2" t="str">
        <x:f>'계약원자료'!A122</x:f>
        <x:v>SIM-2025-0117</x:v>
      </x:c>
      <x:c r="E122" s="2" t="n">
        <x:f>COUNTIF('계약원자료'!$A$6:$A$305,D122)</x:f>
        <x:v>1</x:v>
      </x:c>
      <x:c r="F122" s="2"/>
    </x:row>
    <x:row r="123" ht="27" customHeight="1">
      <x:c r="A123" s="2"/>
      <x:c r="B123" s="2"/>
      <x:c r="C123" s="2"/>
      <x:c r="D123" s="2" t="str">
        <x:f>'계약원자료'!A123</x:f>
        <x:v>SIM-2025-0118</x:v>
      </x:c>
      <x:c r="E123" s="2" t="n">
        <x:f>COUNTIF('계약원자료'!$A$6:$A$305,D123)</x:f>
        <x:v>1</x:v>
      </x:c>
      <x:c r="F123" s="2"/>
    </x:row>
    <x:row r="124" ht="27" customHeight="1">
      <x:c r="A124" s="2"/>
      <x:c r="B124" s="2"/>
      <x:c r="C124" s="2"/>
      <x:c r="D124" s="2" t="str">
        <x:f>'계약원자료'!A124</x:f>
        <x:v>SIM-2025-0119</x:v>
      </x:c>
      <x:c r="E124" s="2" t="n">
        <x:f>COUNTIF('계약원자료'!$A$6:$A$305,D124)</x:f>
        <x:v>1</x:v>
      </x:c>
      <x:c r="F124" s="2"/>
    </x:row>
    <x:row r="125" ht="27" customHeight="1">
      <x:c r="A125" s="2"/>
      <x:c r="B125" s="2"/>
      <x:c r="C125" s="2"/>
      <x:c r="D125" s="2" t="str">
        <x:f>'계약원자료'!A125</x:f>
        <x:v>SIM-2025-0120</x:v>
      </x:c>
      <x:c r="E125" s="2" t="n">
        <x:f>COUNTIF('계약원자료'!$A$6:$A$305,D125)</x:f>
        <x:v>1</x:v>
      </x:c>
      <x:c r="F125" s="2"/>
    </x:row>
    <x:row r="126" ht="27" customHeight="1">
      <x:c r="A126" s="2"/>
      <x:c r="B126" s="2"/>
      <x:c r="C126" s="2"/>
      <x:c r="D126" s="2" t="str">
        <x:f>'계약원자료'!A126</x:f>
        <x:v>SIM-2025-0121</x:v>
      </x:c>
      <x:c r="E126" s="2" t="n">
        <x:f>COUNTIF('계약원자료'!$A$6:$A$305,D126)</x:f>
        <x:v>1</x:v>
      </x:c>
      <x:c r="F126" s="2"/>
    </x:row>
    <x:row r="127" ht="27" customHeight="1">
      <x:c r="A127" s="2"/>
      <x:c r="B127" s="2"/>
      <x:c r="C127" s="2"/>
      <x:c r="D127" s="2" t="str">
        <x:f>'계약원자료'!A127</x:f>
        <x:v>SIM-2025-0122</x:v>
      </x:c>
      <x:c r="E127" s="2" t="n">
        <x:f>COUNTIF('계약원자료'!$A$6:$A$305,D127)</x:f>
        <x:v>1</x:v>
      </x:c>
      <x:c r="F127" s="2"/>
    </x:row>
    <x:row r="128" ht="27" customHeight="1">
      <x:c r="A128" s="2"/>
      <x:c r="B128" s="2"/>
      <x:c r="C128" s="2"/>
      <x:c r="D128" s="2" t="str">
        <x:f>'계약원자료'!A128</x:f>
        <x:v>SIM-2025-0123</x:v>
      </x:c>
      <x:c r="E128" s="2" t="n">
        <x:f>COUNTIF('계약원자료'!$A$6:$A$305,D128)</x:f>
        <x:v>1</x:v>
      </x:c>
      <x:c r="F128" s="2"/>
    </x:row>
    <x:row r="129" ht="27" customHeight="1">
      <x:c r="A129" s="2"/>
      <x:c r="B129" s="2"/>
      <x:c r="C129" s="2"/>
      <x:c r="D129" s="2" t="str">
        <x:f>'계약원자료'!A129</x:f>
        <x:v>SIM-2025-0124</x:v>
      </x:c>
      <x:c r="E129" s="2" t="n">
        <x:f>COUNTIF('계약원자료'!$A$6:$A$305,D129)</x:f>
        <x:v>1</x:v>
      </x:c>
      <x:c r="F129" s="2"/>
    </x:row>
    <x:row r="130" ht="27" customHeight="1">
      <x:c r="A130" s="2"/>
      <x:c r="B130" s="2"/>
      <x:c r="C130" s="2"/>
      <x:c r="D130" s="2" t="str">
        <x:f>'계약원자료'!A130</x:f>
        <x:v>SIM-2025-0125</x:v>
      </x:c>
      <x:c r="E130" s="2" t="n">
        <x:f>COUNTIF('계약원자료'!$A$6:$A$305,D130)</x:f>
        <x:v>1</x:v>
      </x:c>
      <x:c r="F130" s="2"/>
    </x:row>
    <x:row r="131" ht="27" customHeight="1">
      <x:c r="A131" s="2"/>
      <x:c r="B131" s="2"/>
      <x:c r="C131" s="2"/>
      <x:c r="D131" s="2" t="str">
        <x:f>'계약원자료'!A131</x:f>
        <x:v>SIM-2025-0126</x:v>
      </x:c>
      <x:c r="E131" s="2" t="n">
        <x:f>COUNTIF('계약원자료'!$A$6:$A$305,D131)</x:f>
        <x:v>1</x:v>
      </x:c>
      <x:c r="F131" s="2"/>
    </x:row>
    <x:row r="132" ht="27" customHeight="1">
      <x:c r="A132" s="2"/>
      <x:c r="B132" s="2"/>
      <x:c r="C132" s="2"/>
      <x:c r="D132" s="2" t="str">
        <x:f>'계약원자료'!A132</x:f>
        <x:v>SIM-2025-0127</x:v>
      </x:c>
      <x:c r="E132" s="2" t="n">
        <x:f>COUNTIF('계약원자료'!$A$6:$A$305,D132)</x:f>
        <x:v>1</x:v>
      </x:c>
      <x:c r="F132" s="2"/>
    </x:row>
    <x:row r="133" ht="27" customHeight="1">
      <x:c r="A133" s="2"/>
      <x:c r="B133" s="2"/>
      <x:c r="C133" s="2"/>
      <x:c r="D133" s="2" t="str">
        <x:f>'계약원자료'!A133</x:f>
        <x:v>SIM-2025-0128</x:v>
      </x:c>
      <x:c r="E133" s="2" t="n">
        <x:f>COUNTIF('계약원자료'!$A$6:$A$305,D133)</x:f>
        <x:v>1</x:v>
      </x:c>
      <x:c r="F133" s="2"/>
    </x:row>
    <x:row r="134" ht="27" customHeight="1">
      <x:c r="A134" s="2"/>
      <x:c r="B134" s="2"/>
      <x:c r="C134" s="2"/>
      <x:c r="D134" s="2" t="str">
        <x:f>'계약원자료'!A134</x:f>
        <x:v>SIM-2025-0129</x:v>
      </x:c>
      <x:c r="E134" s="2" t="n">
        <x:f>COUNTIF('계약원자료'!$A$6:$A$305,D134)</x:f>
        <x:v>1</x:v>
      </x:c>
      <x:c r="F134" s="2"/>
    </x:row>
    <x:row r="135" ht="27" customHeight="1">
      <x:c r="A135" s="2"/>
      <x:c r="B135" s="2"/>
      <x:c r="C135" s="2"/>
      <x:c r="D135" s="2" t="str">
        <x:f>'계약원자료'!A135</x:f>
        <x:v>SIM-2025-0130</x:v>
      </x:c>
      <x:c r="E135" s="2" t="n">
        <x:f>COUNTIF('계약원자료'!$A$6:$A$305,D135)</x:f>
        <x:v>1</x:v>
      </x:c>
      <x:c r="F135" s="2"/>
    </x:row>
    <x:row r="136" ht="27" customHeight="1">
      <x:c r="A136" s="2"/>
      <x:c r="B136" s="2"/>
      <x:c r="C136" s="2"/>
      <x:c r="D136" s="2" t="str">
        <x:f>'계약원자료'!A136</x:f>
        <x:v>SIM-2025-0131</x:v>
      </x:c>
      <x:c r="E136" s="2" t="n">
        <x:f>COUNTIF('계약원자료'!$A$6:$A$305,D136)</x:f>
        <x:v>1</x:v>
      </x:c>
      <x:c r="F136" s="2"/>
    </x:row>
    <x:row r="137" ht="27" customHeight="1">
      <x:c r="A137" s="2"/>
      <x:c r="B137" s="2"/>
      <x:c r="C137" s="2"/>
      <x:c r="D137" s="2" t="str">
        <x:f>'계약원자료'!A137</x:f>
        <x:v>SIM-2025-0132</x:v>
      </x:c>
      <x:c r="E137" s="2" t="n">
        <x:f>COUNTIF('계약원자료'!$A$6:$A$305,D137)</x:f>
        <x:v>1</x:v>
      </x:c>
      <x:c r="F137" s="2"/>
    </x:row>
    <x:row r="138" ht="27" customHeight="1">
      <x:c r="A138" s="2"/>
      <x:c r="B138" s="2"/>
      <x:c r="C138" s="2"/>
      <x:c r="D138" s="2" t="str">
        <x:f>'계약원자료'!A138</x:f>
        <x:v>SIM-2025-0133</x:v>
      </x:c>
      <x:c r="E138" s="2" t="n">
        <x:f>COUNTIF('계약원자료'!$A$6:$A$305,D138)</x:f>
        <x:v>1</x:v>
      </x:c>
      <x:c r="F138" s="2"/>
    </x:row>
    <x:row r="139" ht="27" customHeight="1">
      <x:c r="A139" s="2"/>
      <x:c r="B139" s="2"/>
      <x:c r="C139" s="2"/>
      <x:c r="D139" s="2" t="str">
        <x:f>'계약원자료'!A139</x:f>
        <x:v>SIM-2025-0134</x:v>
      </x:c>
      <x:c r="E139" s="2" t="n">
        <x:f>COUNTIF('계약원자료'!$A$6:$A$305,D139)</x:f>
        <x:v>1</x:v>
      </x:c>
      <x:c r="F139" s="2"/>
    </x:row>
    <x:row r="140" ht="27" customHeight="1">
      <x:c r="A140" s="2"/>
      <x:c r="B140" s="2"/>
      <x:c r="C140" s="2"/>
      <x:c r="D140" s="2" t="str">
        <x:f>'계약원자료'!A140</x:f>
        <x:v>SIM-2025-0135</x:v>
      </x:c>
      <x:c r="E140" s="2" t="n">
        <x:f>COUNTIF('계약원자료'!$A$6:$A$305,D140)</x:f>
        <x:v>1</x:v>
      </x:c>
      <x:c r="F140" s="2"/>
    </x:row>
    <x:row r="141" ht="27" customHeight="1">
      <x:c r="A141" s="2"/>
      <x:c r="B141" s="2"/>
      <x:c r="C141" s="2"/>
      <x:c r="D141" s="2" t="str">
        <x:f>'계약원자료'!A141</x:f>
        <x:v>SIM-2025-0136</x:v>
      </x:c>
      <x:c r="E141" s="2" t="n">
        <x:f>COUNTIF('계약원자료'!$A$6:$A$305,D141)</x:f>
        <x:v>1</x:v>
      </x:c>
      <x:c r="F141" s="2"/>
    </x:row>
    <x:row r="142" ht="27" customHeight="1">
      <x:c r="A142" s="2"/>
      <x:c r="B142" s="2"/>
      <x:c r="C142" s="2"/>
      <x:c r="D142" s="2" t="str">
        <x:f>'계약원자료'!A142</x:f>
        <x:v>SIM-2025-0137</x:v>
      </x:c>
      <x:c r="E142" s="2" t="n">
        <x:f>COUNTIF('계약원자료'!$A$6:$A$305,D142)</x:f>
        <x:v>1</x:v>
      </x:c>
      <x:c r="F142" s="2"/>
    </x:row>
    <x:row r="143" ht="27" customHeight="1">
      <x:c r="A143" s="2"/>
      <x:c r="B143" s="2"/>
      <x:c r="C143" s="2"/>
      <x:c r="D143" s="2" t="str">
        <x:f>'계약원자료'!A143</x:f>
        <x:v>SIM-2025-0138</x:v>
      </x:c>
      <x:c r="E143" s="2" t="n">
        <x:f>COUNTIF('계약원자료'!$A$6:$A$305,D143)</x:f>
        <x:v>1</x:v>
      </x:c>
      <x:c r="F143" s="2"/>
    </x:row>
    <x:row r="144" ht="27" customHeight="1">
      <x:c r="A144" s="2"/>
      <x:c r="B144" s="2"/>
      <x:c r="C144" s="2"/>
      <x:c r="D144" s="2" t="str">
        <x:f>'계약원자료'!A144</x:f>
        <x:v>SIM-2025-0139</x:v>
      </x:c>
      <x:c r="E144" s="2" t="n">
        <x:f>COUNTIF('계약원자료'!$A$6:$A$305,D144)</x:f>
        <x:v>1</x:v>
      </x:c>
      <x:c r="F144" s="2"/>
    </x:row>
    <x:row r="145" ht="27" customHeight="1">
      <x:c r="A145" s="2"/>
      <x:c r="B145" s="2"/>
      <x:c r="C145" s="2"/>
      <x:c r="D145" s="2" t="str">
        <x:f>'계약원자료'!A145</x:f>
        <x:v>SIM-2025-0140</x:v>
      </x:c>
      <x:c r="E145" s="2" t="n">
        <x:f>COUNTIF('계약원자료'!$A$6:$A$305,D145)</x:f>
        <x:v>1</x:v>
      </x:c>
      <x:c r="F145" s="2"/>
    </x:row>
    <x:row r="146" ht="27" customHeight="1">
      <x:c r="A146" s="2"/>
      <x:c r="B146" s="2"/>
      <x:c r="C146" s="2"/>
      <x:c r="D146" s="2" t="str">
        <x:f>'계약원자료'!A146</x:f>
        <x:v>SIM-2025-0141</x:v>
      </x:c>
      <x:c r="E146" s="2" t="n">
        <x:f>COUNTIF('계약원자료'!$A$6:$A$305,D146)</x:f>
        <x:v>1</x:v>
      </x:c>
      <x:c r="F146" s="2"/>
    </x:row>
    <x:row r="147" ht="27" customHeight="1">
      <x:c r="A147" s="2"/>
      <x:c r="B147" s="2"/>
      <x:c r="C147" s="2"/>
      <x:c r="D147" s="2" t="str">
        <x:f>'계약원자료'!A147</x:f>
        <x:v>SIM-2025-0142</x:v>
      </x:c>
      <x:c r="E147" s="2" t="n">
        <x:f>COUNTIF('계약원자료'!$A$6:$A$305,D147)</x:f>
        <x:v>1</x:v>
      </x:c>
      <x:c r="F147" s="2"/>
    </x:row>
    <x:row r="148" ht="27" customHeight="1">
      <x:c r="A148" s="2"/>
      <x:c r="B148" s="2"/>
      <x:c r="C148" s="2"/>
      <x:c r="D148" s="2" t="str">
        <x:f>'계약원자료'!A148</x:f>
        <x:v>SIM-2025-0143</x:v>
      </x:c>
      <x:c r="E148" s="2" t="n">
        <x:f>COUNTIF('계약원자료'!$A$6:$A$305,D148)</x:f>
        <x:v>1</x:v>
      </x:c>
      <x:c r="F148" s="2"/>
    </x:row>
    <x:row r="149" ht="27" customHeight="1">
      <x:c r="A149" s="2"/>
      <x:c r="B149" s="2"/>
      <x:c r="C149" s="2"/>
      <x:c r="D149" s="2" t="str">
        <x:f>'계약원자료'!A149</x:f>
        <x:v>SIM-2025-0144</x:v>
      </x:c>
      <x:c r="E149" s="2" t="n">
        <x:f>COUNTIF('계약원자료'!$A$6:$A$305,D149)</x:f>
        <x:v>1</x:v>
      </x:c>
      <x:c r="F149" s="2"/>
    </x:row>
    <x:row r="150" ht="27" customHeight="1">
      <x:c r="A150" s="2"/>
      <x:c r="B150" s="2"/>
      <x:c r="C150" s="2"/>
      <x:c r="D150" s="2" t="str">
        <x:f>'계약원자료'!A150</x:f>
        <x:v>SIM-2025-0145</x:v>
      </x:c>
      <x:c r="E150" s="2" t="n">
        <x:f>COUNTIF('계약원자료'!$A$6:$A$305,D150)</x:f>
        <x:v>1</x:v>
      </x:c>
      <x:c r="F150" s="2"/>
    </x:row>
    <x:row r="151" ht="27" customHeight="1">
      <x:c r="A151" s="2"/>
      <x:c r="B151" s="2"/>
      <x:c r="C151" s="2"/>
      <x:c r="D151" s="2" t="str">
        <x:f>'계약원자료'!A151</x:f>
        <x:v>SIM-2025-0146</x:v>
      </x:c>
      <x:c r="E151" s="2" t="n">
        <x:f>COUNTIF('계약원자료'!$A$6:$A$305,D151)</x:f>
        <x:v>1</x:v>
      </x:c>
      <x:c r="F151" s="2"/>
    </x:row>
    <x:row r="152" ht="27" customHeight="1">
      <x:c r="A152" s="2"/>
      <x:c r="B152" s="2"/>
      <x:c r="C152" s="2"/>
      <x:c r="D152" s="2" t="str">
        <x:f>'계약원자료'!A152</x:f>
        <x:v>SIM-2025-0147</x:v>
      </x:c>
      <x:c r="E152" s="2" t="n">
        <x:f>COUNTIF('계약원자료'!$A$6:$A$305,D152)</x:f>
        <x:v>1</x:v>
      </x:c>
      <x:c r="F152" s="2"/>
    </x:row>
    <x:row r="153" ht="27" customHeight="1">
      <x:c r="A153" s="2"/>
      <x:c r="B153" s="2"/>
      <x:c r="C153" s="2"/>
      <x:c r="D153" s="2" t="str">
        <x:f>'계약원자료'!A153</x:f>
        <x:v>SIM-2025-0148</x:v>
      </x:c>
      <x:c r="E153" s="2" t="n">
        <x:f>COUNTIF('계약원자료'!$A$6:$A$305,D153)</x:f>
        <x:v>1</x:v>
      </x:c>
      <x:c r="F153" s="2"/>
    </x:row>
    <x:row r="154" ht="27" customHeight="1">
      <x:c r="A154" s="2"/>
      <x:c r="B154" s="2"/>
      <x:c r="C154" s="2"/>
      <x:c r="D154" s="2" t="str">
        <x:f>'계약원자료'!A154</x:f>
        <x:v>SIM-2025-0149</x:v>
      </x:c>
      <x:c r="E154" s="2" t="n">
        <x:f>COUNTIF('계약원자료'!$A$6:$A$305,D154)</x:f>
        <x:v>1</x:v>
      </x:c>
      <x:c r="F154" s="2"/>
    </x:row>
    <x:row r="155" ht="27" customHeight="1">
      <x:c r="A155" s="2"/>
      <x:c r="B155" s="2"/>
      <x:c r="C155" s="2"/>
      <x:c r="D155" s="2" t="str">
        <x:f>'계약원자료'!A155</x:f>
        <x:v>SIM-2025-0150</x:v>
      </x:c>
      <x:c r="E155" s="2" t="n">
        <x:f>COUNTIF('계약원자료'!$A$6:$A$305,D155)</x:f>
        <x:v>1</x:v>
      </x:c>
      <x:c r="F155" s="2"/>
    </x:row>
    <x:row r="156" ht="27" customHeight="1">
      <x:c r="A156" s="2"/>
      <x:c r="B156" s="2"/>
      <x:c r="C156" s="2"/>
      <x:c r="D156" s="2" t="str">
        <x:f>'계약원자료'!A156</x:f>
        <x:v>SIM-2025-0151</x:v>
      </x:c>
      <x:c r="E156" s="2" t="n">
        <x:f>COUNTIF('계약원자료'!$A$6:$A$305,D156)</x:f>
        <x:v>1</x:v>
      </x:c>
      <x:c r="F156" s="2"/>
    </x:row>
    <x:row r="157" ht="27" customHeight="1">
      <x:c r="A157" s="2"/>
      <x:c r="B157" s="2"/>
      <x:c r="C157" s="2"/>
      <x:c r="D157" s="2" t="str">
        <x:f>'계약원자료'!A157</x:f>
        <x:v>SIM-2025-0152</x:v>
      </x:c>
      <x:c r="E157" s="2" t="n">
        <x:f>COUNTIF('계약원자료'!$A$6:$A$305,D157)</x:f>
        <x:v>1</x:v>
      </x:c>
      <x:c r="F157" s="2"/>
    </x:row>
    <x:row r="158" ht="27" customHeight="1">
      <x:c r="A158" s="2"/>
      <x:c r="B158" s="2"/>
      <x:c r="C158" s="2"/>
      <x:c r="D158" s="2" t="str">
        <x:f>'계약원자료'!A158</x:f>
        <x:v>SIM-2025-0153</x:v>
      </x:c>
      <x:c r="E158" s="2" t="n">
        <x:f>COUNTIF('계약원자료'!$A$6:$A$305,D158)</x:f>
        <x:v>1</x:v>
      </x:c>
      <x:c r="F158" s="2"/>
    </x:row>
    <x:row r="159" ht="27" customHeight="1">
      <x:c r="A159" s="2"/>
      <x:c r="B159" s="2"/>
      <x:c r="C159" s="2"/>
      <x:c r="D159" s="2" t="str">
        <x:f>'계약원자료'!A159</x:f>
        <x:v>SIM-2025-0154</x:v>
      </x:c>
      <x:c r="E159" s="2" t="n">
        <x:f>COUNTIF('계약원자료'!$A$6:$A$305,D159)</x:f>
        <x:v>1</x:v>
      </x:c>
      <x:c r="F159" s="2"/>
    </x:row>
    <x:row r="160" ht="27" customHeight="1">
      <x:c r="A160" s="2"/>
      <x:c r="B160" s="2"/>
      <x:c r="C160" s="2"/>
      <x:c r="D160" s="2" t="str">
        <x:f>'계약원자료'!A160</x:f>
        <x:v>SIM-2025-0155</x:v>
      </x:c>
      <x:c r="E160" s="2" t="n">
        <x:f>COUNTIF('계약원자료'!$A$6:$A$305,D160)</x:f>
        <x:v>1</x:v>
      </x:c>
      <x:c r="F160" s="2"/>
    </x:row>
    <x:row r="161" ht="27" customHeight="1">
      <x:c r="A161" s="2"/>
      <x:c r="B161" s="2"/>
      <x:c r="C161" s="2"/>
      <x:c r="D161" s="2" t="str">
        <x:f>'계약원자료'!A161</x:f>
        <x:v>SIM-2025-0156</x:v>
      </x:c>
      <x:c r="E161" s="2" t="n">
        <x:f>COUNTIF('계약원자료'!$A$6:$A$305,D161)</x:f>
        <x:v>1</x:v>
      </x:c>
      <x:c r="F161" s="2"/>
    </x:row>
    <x:row r="162" ht="27" customHeight="1">
      <x:c r="A162" s="2"/>
      <x:c r="B162" s="2"/>
      <x:c r="C162" s="2"/>
      <x:c r="D162" s="2" t="str">
        <x:f>'계약원자료'!A162</x:f>
        <x:v>SIM-2025-0157</x:v>
      </x:c>
      <x:c r="E162" s="2" t="n">
        <x:f>COUNTIF('계약원자료'!$A$6:$A$305,D162)</x:f>
        <x:v>1</x:v>
      </x:c>
      <x:c r="F162" s="2"/>
    </x:row>
    <x:row r="163" ht="27" customHeight="1">
      <x:c r="A163" s="2"/>
      <x:c r="B163" s="2"/>
      <x:c r="C163" s="2"/>
      <x:c r="D163" s="2" t="str">
        <x:f>'계약원자료'!A163</x:f>
        <x:v>SIM-2025-0158</x:v>
      </x:c>
      <x:c r="E163" s="2" t="n">
        <x:f>COUNTIF('계약원자료'!$A$6:$A$305,D163)</x:f>
        <x:v>1</x:v>
      </x:c>
      <x:c r="F163" s="2"/>
    </x:row>
    <x:row r="164" ht="27" customHeight="1">
      <x:c r="A164" s="2"/>
      <x:c r="B164" s="2"/>
      <x:c r="C164" s="2"/>
      <x:c r="D164" s="2" t="str">
        <x:f>'계약원자료'!A164</x:f>
        <x:v>SIM-2025-0159</x:v>
      </x:c>
      <x:c r="E164" s="2" t="n">
        <x:f>COUNTIF('계약원자료'!$A$6:$A$305,D164)</x:f>
        <x:v>1</x:v>
      </x:c>
      <x:c r="F164" s="2"/>
    </x:row>
    <x:row r="165" ht="27" customHeight="1">
      <x:c r="A165" s="2"/>
      <x:c r="B165" s="2"/>
      <x:c r="C165" s="2"/>
      <x:c r="D165" s="2" t="str">
        <x:f>'계약원자료'!A165</x:f>
        <x:v>SIM-2025-0160</x:v>
      </x:c>
      <x:c r="E165" s="2" t="n">
        <x:f>COUNTIF('계약원자료'!$A$6:$A$305,D165)</x:f>
        <x:v>1</x:v>
      </x:c>
      <x:c r="F165" s="2"/>
    </x:row>
    <x:row r="166" ht="27" customHeight="1">
      <x:c r="A166" s="2"/>
      <x:c r="B166" s="2"/>
      <x:c r="C166" s="2"/>
      <x:c r="D166" s="2" t="str">
        <x:f>'계약원자료'!A166</x:f>
        <x:v>SIM-2025-0161</x:v>
      </x:c>
      <x:c r="E166" s="2" t="n">
        <x:f>COUNTIF('계약원자료'!$A$6:$A$305,D166)</x:f>
        <x:v>1</x:v>
      </x:c>
      <x:c r="F166" s="2"/>
    </x:row>
    <x:row r="167" ht="27" customHeight="1">
      <x:c r="A167" s="2"/>
      <x:c r="B167" s="2"/>
      <x:c r="C167" s="2"/>
      <x:c r="D167" s="2" t="str">
        <x:f>'계약원자료'!A167</x:f>
        <x:v>SIM-2025-0162</x:v>
      </x:c>
      <x:c r="E167" s="2" t="n">
        <x:f>COUNTIF('계약원자료'!$A$6:$A$305,D167)</x:f>
        <x:v>1</x:v>
      </x:c>
      <x:c r="F167" s="2"/>
    </x:row>
    <x:row r="168" ht="27" customHeight="1">
      <x:c r="A168" s="2"/>
      <x:c r="B168" s="2"/>
      <x:c r="C168" s="2"/>
      <x:c r="D168" s="2" t="str">
        <x:f>'계약원자료'!A168</x:f>
        <x:v>SIM-2025-0163</x:v>
      </x:c>
      <x:c r="E168" s="2" t="n">
        <x:f>COUNTIF('계약원자료'!$A$6:$A$305,D168)</x:f>
        <x:v>1</x:v>
      </x:c>
      <x:c r="F168" s="2"/>
    </x:row>
    <x:row r="169" ht="27" customHeight="1">
      <x:c r="A169" s="2"/>
      <x:c r="B169" s="2"/>
      <x:c r="C169" s="2"/>
      <x:c r="D169" s="2" t="str">
        <x:f>'계약원자료'!A169</x:f>
        <x:v>SIM-2025-0164</x:v>
      </x:c>
      <x:c r="E169" s="2" t="n">
        <x:f>COUNTIF('계약원자료'!$A$6:$A$305,D169)</x:f>
        <x:v>1</x:v>
      </x:c>
      <x:c r="F169" s="2"/>
    </x:row>
    <x:row r="170" ht="27" customHeight="1">
      <x:c r="A170" s="2"/>
      <x:c r="B170" s="2"/>
      <x:c r="C170" s="2"/>
      <x:c r="D170" s="2" t="str">
        <x:f>'계약원자료'!A170</x:f>
        <x:v>SIM-2025-0165</x:v>
      </x:c>
      <x:c r="E170" s="2" t="n">
        <x:f>COUNTIF('계약원자료'!$A$6:$A$305,D170)</x:f>
        <x:v>1</x:v>
      </x:c>
      <x:c r="F170" s="2"/>
    </x:row>
    <x:row r="171" ht="27" customHeight="1">
      <x:c r="A171" s="2"/>
      <x:c r="B171" s="2"/>
      <x:c r="C171" s="2"/>
      <x:c r="D171" s="2" t="str">
        <x:f>'계약원자료'!A171</x:f>
        <x:v>SIM-2025-0166</x:v>
      </x:c>
      <x:c r="E171" s="2" t="n">
        <x:f>COUNTIF('계약원자료'!$A$6:$A$305,D171)</x:f>
        <x:v>1</x:v>
      </x:c>
      <x:c r="F171" s="2"/>
    </x:row>
    <x:row r="172" ht="27" customHeight="1">
      <x:c r="A172" s="2"/>
      <x:c r="B172" s="2"/>
      <x:c r="C172" s="2"/>
      <x:c r="D172" s="2" t="str">
        <x:f>'계약원자료'!A172</x:f>
        <x:v>SIM-2025-0167</x:v>
      </x:c>
      <x:c r="E172" s="2" t="n">
        <x:f>COUNTIF('계약원자료'!$A$6:$A$305,D172)</x:f>
        <x:v>1</x:v>
      </x:c>
      <x:c r="F172" s="2"/>
    </x:row>
    <x:row r="173" ht="27" customHeight="1">
      <x:c r="A173" s="2"/>
      <x:c r="B173" s="2"/>
      <x:c r="C173" s="2"/>
      <x:c r="D173" s="2" t="str">
        <x:f>'계약원자료'!A173</x:f>
        <x:v>SIM-2025-0168</x:v>
      </x:c>
      <x:c r="E173" s="2" t="n">
        <x:f>COUNTIF('계약원자료'!$A$6:$A$305,D173)</x:f>
        <x:v>1</x:v>
      </x:c>
      <x:c r="F173" s="2"/>
    </x:row>
    <x:row r="174" ht="27" customHeight="1">
      <x:c r="A174" s="2"/>
      <x:c r="B174" s="2"/>
      <x:c r="C174" s="2"/>
      <x:c r="D174" s="2" t="str">
        <x:f>'계약원자료'!A174</x:f>
        <x:v>SIM-2025-0169</x:v>
      </x:c>
      <x:c r="E174" s="2" t="n">
        <x:f>COUNTIF('계약원자료'!$A$6:$A$305,D174)</x:f>
        <x:v>1</x:v>
      </x:c>
      <x:c r="F174" s="2"/>
    </x:row>
    <x:row r="175" ht="27" customHeight="1">
      <x:c r="A175" s="2"/>
      <x:c r="B175" s="2"/>
      <x:c r="C175" s="2"/>
      <x:c r="D175" s="2" t="str">
        <x:f>'계약원자료'!A175</x:f>
        <x:v>SIM-2025-0170</x:v>
      </x:c>
      <x:c r="E175" s="2" t="n">
        <x:f>COUNTIF('계약원자료'!$A$6:$A$305,D175)</x:f>
        <x:v>1</x:v>
      </x:c>
      <x:c r="F175" s="2"/>
    </x:row>
    <x:row r="176" ht="27" customHeight="1">
      <x:c r="A176" s="2"/>
      <x:c r="B176" s="2"/>
      <x:c r="C176" s="2"/>
      <x:c r="D176" s="2" t="str">
        <x:f>'계약원자료'!A176</x:f>
        <x:v>SIM-2025-0171</x:v>
      </x:c>
      <x:c r="E176" s="2" t="n">
        <x:f>COUNTIF('계약원자료'!$A$6:$A$305,D176)</x:f>
        <x:v>1</x:v>
      </x:c>
      <x:c r="F176" s="2"/>
    </x:row>
    <x:row r="177" ht="27" customHeight="1">
      <x:c r="A177" s="2"/>
      <x:c r="B177" s="2"/>
      <x:c r="C177" s="2"/>
      <x:c r="D177" s="2" t="str">
        <x:f>'계약원자료'!A177</x:f>
        <x:v>SIM-2025-0172</x:v>
      </x:c>
      <x:c r="E177" s="2" t="n">
        <x:f>COUNTIF('계약원자료'!$A$6:$A$305,D177)</x:f>
        <x:v>1</x:v>
      </x:c>
      <x:c r="F177" s="2"/>
    </x:row>
    <x:row r="178" ht="27" customHeight="1">
      <x:c r="A178" s="2"/>
      <x:c r="B178" s="2"/>
      <x:c r="C178" s="2"/>
      <x:c r="D178" s="2" t="str">
        <x:f>'계약원자료'!A178</x:f>
        <x:v>SIM-2025-0173</x:v>
      </x:c>
      <x:c r="E178" s="2" t="n">
        <x:f>COUNTIF('계약원자료'!$A$6:$A$305,D178)</x:f>
        <x:v>1</x:v>
      </x:c>
      <x:c r="F178" s="2"/>
    </x:row>
    <x:row r="179" ht="27" customHeight="1">
      <x:c r="A179" s="2"/>
      <x:c r="B179" s="2"/>
      <x:c r="C179" s="2"/>
      <x:c r="D179" s="2" t="str">
        <x:f>'계약원자료'!A179</x:f>
        <x:v>SIM-2025-0174</x:v>
      </x:c>
      <x:c r="E179" s="2" t="n">
        <x:f>COUNTIF('계약원자료'!$A$6:$A$305,D179)</x:f>
        <x:v>1</x:v>
      </x:c>
      <x:c r="F179" s="2"/>
    </x:row>
    <x:row r="180" ht="27" customHeight="1">
      <x:c r="A180" s="2"/>
      <x:c r="B180" s="2"/>
      <x:c r="C180" s="2"/>
      <x:c r="D180" s="2" t="str">
        <x:f>'계약원자료'!A180</x:f>
        <x:v>SIM-2025-0175</x:v>
      </x:c>
      <x:c r="E180" s="2" t="n">
        <x:f>COUNTIF('계약원자료'!$A$6:$A$305,D180)</x:f>
        <x:v>1</x:v>
      </x:c>
      <x:c r="F180" s="2"/>
    </x:row>
    <x:row r="181" ht="27" customHeight="1">
      <x:c r="A181" s="2"/>
      <x:c r="B181" s="2"/>
      <x:c r="C181" s="2"/>
      <x:c r="D181" s="2" t="str">
        <x:f>'계약원자료'!A181</x:f>
        <x:v>SIM-2025-0176</x:v>
      </x:c>
      <x:c r="E181" s="2" t="n">
        <x:f>COUNTIF('계약원자료'!$A$6:$A$305,D181)</x:f>
        <x:v>1</x:v>
      </x:c>
      <x:c r="F181" s="2"/>
    </x:row>
    <x:row r="182" ht="27" customHeight="1">
      <x:c r="A182" s="2"/>
      <x:c r="B182" s="2"/>
      <x:c r="C182" s="2"/>
      <x:c r="D182" s="2" t="str">
        <x:f>'계약원자료'!A182</x:f>
        <x:v>SIM-2025-0177</x:v>
      </x:c>
      <x:c r="E182" s="2" t="n">
        <x:f>COUNTIF('계약원자료'!$A$6:$A$305,D182)</x:f>
        <x:v>1</x:v>
      </x:c>
      <x:c r="F182" s="2"/>
    </x:row>
    <x:row r="183" ht="27" customHeight="1">
      <x:c r="A183" s="2"/>
      <x:c r="B183" s="2"/>
      <x:c r="C183" s="2"/>
      <x:c r="D183" s="2" t="str">
        <x:f>'계약원자료'!A183</x:f>
        <x:v>SIM-2025-0178</x:v>
      </x:c>
      <x:c r="E183" s="2" t="n">
        <x:f>COUNTIF('계약원자료'!$A$6:$A$305,D183)</x:f>
        <x:v>1</x:v>
      </x:c>
      <x:c r="F183" s="2"/>
    </x:row>
    <x:row r="184" ht="27" customHeight="1">
      <x:c r="A184" s="2"/>
      <x:c r="B184" s="2"/>
      <x:c r="C184" s="2"/>
      <x:c r="D184" s="2" t="str">
        <x:f>'계약원자료'!A184</x:f>
        <x:v>SIM-2025-0179</x:v>
      </x:c>
      <x:c r="E184" s="2" t="n">
        <x:f>COUNTIF('계약원자료'!$A$6:$A$305,D184)</x:f>
        <x:v>1</x:v>
      </x:c>
      <x:c r="F184" s="2"/>
    </x:row>
    <x:row r="185" ht="27" customHeight="1">
      <x:c r="A185" s="2"/>
      <x:c r="B185" s="2"/>
      <x:c r="C185" s="2"/>
      <x:c r="D185" s="2" t="str">
        <x:f>'계약원자료'!A185</x:f>
        <x:v>SIM-2025-0180</x:v>
      </x:c>
      <x:c r="E185" s="2" t="n">
        <x:f>COUNTIF('계약원자료'!$A$6:$A$305,D185)</x:f>
        <x:v>1</x:v>
      </x:c>
      <x:c r="F185" s="2"/>
    </x:row>
    <x:row r="186" ht="27" customHeight="1">
      <x:c r="A186" s="2"/>
      <x:c r="B186" s="2"/>
      <x:c r="C186" s="2"/>
      <x:c r="D186" s="2" t="str">
        <x:f>'계약원자료'!A186</x:f>
        <x:v>SIM-2025-0181</x:v>
      </x:c>
      <x:c r="E186" s="2" t="n">
        <x:f>COUNTIF('계약원자료'!$A$6:$A$305,D186)</x:f>
        <x:v>1</x:v>
      </x:c>
      <x:c r="F186" s="2"/>
    </x:row>
    <x:row r="187" ht="27" customHeight="1">
      <x:c r="A187" s="2"/>
      <x:c r="B187" s="2"/>
      <x:c r="C187" s="2"/>
      <x:c r="D187" s="2" t="str">
        <x:f>'계약원자료'!A187</x:f>
        <x:v>SIM-2025-0182</x:v>
      </x:c>
      <x:c r="E187" s="2" t="n">
        <x:f>COUNTIF('계약원자료'!$A$6:$A$305,D187)</x:f>
        <x:v>1</x:v>
      </x:c>
      <x:c r="F187" s="2"/>
    </x:row>
    <x:row r="188" ht="27" customHeight="1">
      <x:c r="A188" s="2"/>
      <x:c r="B188" s="2"/>
      <x:c r="C188" s="2"/>
      <x:c r="D188" s="2" t="str">
        <x:f>'계약원자료'!A188</x:f>
        <x:v>SIM-2025-0183</x:v>
      </x:c>
      <x:c r="E188" s="2" t="n">
        <x:f>COUNTIF('계약원자료'!$A$6:$A$305,D188)</x:f>
        <x:v>1</x:v>
      </x:c>
      <x:c r="F188" s="2"/>
    </x:row>
    <x:row r="189" ht="27" customHeight="1">
      <x:c r="A189" s="2"/>
      <x:c r="B189" s="2"/>
      <x:c r="C189" s="2"/>
      <x:c r="D189" s="2" t="str">
        <x:f>'계약원자료'!A189</x:f>
        <x:v>SIM-2025-0184</x:v>
      </x:c>
      <x:c r="E189" s="2" t="n">
        <x:f>COUNTIF('계약원자료'!$A$6:$A$305,D189)</x:f>
        <x:v>1</x:v>
      </x:c>
      <x:c r="F189" s="2"/>
    </x:row>
    <x:row r="190" ht="27" customHeight="1">
      <x:c r="A190" s="2"/>
      <x:c r="B190" s="2"/>
      <x:c r="C190" s="2"/>
      <x:c r="D190" s="2" t="str">
        <x:f>'계약원자료'!A190</x:f>
        <x:v>SIM-2025-0185</x:v>
      </x:c>
      <x:c r="E190" s="2" t="n">
        <x:f>COUNTIF('계약원자료'!$A$6:$A$305,D190)</x:f>
        <x:v>1</x:v>
      </x:c>
      <x:c r="F190" s="2"/>
    </x:row>
    <x:row r="191" ht="27" customHeight="1">
      <x:c r="A191" s="2"/>
      <x:c r="B191" s="2"/>
      <x:c r="C191" s="2"/>
      <x:c r="D191" s="2" t="str">
        <x:f>'계약원자료'!A191</x:f>
        <x:v>SIM-2025-0186</x:v>
      </x:c>
      <x:c r="E191" s="2" t="n">
        <x:f>COUNTIF('계약원자료'!$A$6:$A$305,D191)</x:f>
        <x:v>1</x:v>
      </x:c>
      <x:c r="F191" s="2"/>
    </x:row>
    <x:row r="192" ht="27" customHeight="1">
      <x:c r="A192" s="2"/>
      <x:c r="B192" s="2"/>
      <x:c r="C192" s="2"/>
      <x:c r="D192" s="2" t="str">
        <x:f>'계약원자료'!A192</x:f>
        <x:v>SIM-2025-0187</x:v>
      </x:c>
      <x:c r="E192" s="2" t="n">
        <x:f>COUNTIF('계약원자료'!$A$6:$A$305,D192)</x:f>
        <x:v>1</x:v>
      </x:c>
      <x:c r="F192" s="2"/>
    </x:row>
    <x:row r="193" ht="27" customHeight="1">
      <x:c r="A193" s="2"/>
      <x:c r="B193" s="2"/>
      <x:c r="C193" s="2"/>
      <x:c r="D193" s="2" t="str">
        <x:f>'계약원자료'!A193</x:f>
        <x:v>SIM-2025-0188</x:v>
      </x:c>
      <x:c r="E193" s="2" t="n">
        <x:f>COUNTIF('계약원자료'!$A$6:$A$305,D193)</x:f>
        <x:v>1</x:v>
      </x:c>
      <x:c r="F193" s="2"/>
    </x:row>
    <x:row r="194" ht="27" customHeight="1">
      <x:c r="A194" s="2"/>
      <x:c r="B194" s="2"/>
      <x:c r="C194" s="2"/>
      <x:c r="D194" s="2" t="str">
        <x:f>'계약원자료'!A194</x:f>
        <x:v>SIM-2025-0189</x:v>
      </x:c>
      <x:c r="E194" s="2" t="n">
        <x:f>COUNTIF('계약원자료'!$A$6:$A$305,D194)</x:f>
        <x:v>1</x:v>
      </x:c>
      <x:c r="F194" s="2"/>
    </x:row>
    <x:row r="195" ht="27" customHeight="1">
      <x:c r="A195" s="2"/>
      <x:c r="B195" s="2"/>
      <x:c r="C195" s="2"/>
      <x:c r="D195" s="2" t="str">
        <x:f>'계약원자료'!A195</x:f>
        <x:v>SIM-2025-0190</x:v>
      </x:c>
      <x:c r="E195" s="2" t="n">
        <x:f>COUNTIF('계약원자료'!$A$6:$A$305,D195)</x:f>
        <x:v>1</x:v>
      </x:c>
      <x:c r="F195" s="2"/>
    </x:row>
    <x:row r="196" ht="27" customHeight="1">
      <x:c r="A196" s="2"/>
      <x:c r="B196" s="2"/>
      <x:c r="C196" s="2"/>
      <x:c r="D196" s="2" t="str">
        <x:f>'계약원자료'!A196</x:f>
        <x:v>SIM-2025-0191</x:v>
      </x:c>
      <x:c r="E196" s="2" t="n">
        <x:f>COUNTIF('계약원자료'!$A$6:$A$305,D196)</x:f>
        <x:v>1</x:v>
      </x:c>
      <x:c r="F196" s="2"/>
    </x:row>
    <x:row r="197" ht="27" customHeight="1">
      <x:c r="A197" s="2"/>
      <x:c r="B197" s="2"/>
      <x:c r="C197" s="2"/>
      <x:c r="D197" s="2" t="str">
        <x:f>'계약원자료'!A197</x:f>
        <x:v>SIM-2025-0192</x:v>
      </x:c>
      <x:c r="E197" s="2" t="n">
        <x:f>COUNTIF('계약원자료'!$A$6:$A$305,D197)</x:f>
        <x:v>1</x:v>
      </x:c>
      <x:c r="F197" s="2"/>
    </x:row>
    <x:row r="198" ht="27" customHeight="1">
      <x:c r="A198" s="2"/>
      <x:c r="B198" s="2"/>
      <x:c r="C198" s="2"/>
      <x:c r="D198" s="2" t="str">
        <x:f>'계약원자료'!A198</x:f>
        <x:v>SIM-2025-0193</x:v>
      </x:c>
      <x:c r="E198" s="2" t="n">
        <x:f>COUNTIF('계약원자료'!$A$6:$A$305,D198)</x:f>
        <x:v>1</x:v>
      </x:c>
      <x:c r="F198" s="2"/>
    </x:row>
    <x:row r="199" ht="27" customHeight="1">
      <x:c r="A199" s="2"/>
      <x:c r="B199" s="2"/>
      <x:c r="C199" s="2"/>
      <x:c r="D199" s="2" t="str">
        <x:f>'계약원자료'!A199</x:f>
        <x:v>SIM-2025-0194</x:v>
      </x:c>
      <x:c r="E199" s="2" t="n">
        <x:f>COUNTIF('계약원자료'!$A$6:$A$305,D199)</x:f>
        <x:v>1</x:v>
      </x:c>
      <x:c r="F199" s="2"/>
    </x:row>
    <x:row r="200" ht="27" customHeight="1">
      <x:c r="A200" s="2"/>
      <x:c r="B200" s="2"/>
      <x:c r="C200" s="2"/>
      <x:c r="D200" s="2" t="str">
        <x:f>'계약원자료'!A200</x:f>
        <x:v>SIM-2025-0195</x:v>
      </x:c>
      <x:c r="E200" s="2" t="n">
        <x:f>COUNTIF('계약원자료'!$A$6:$A$305,D200)</x:f>
        <x:v>1</x:v>
      </x:c>
      <x:c r="F200" s="2"/>
    </x:row>
    <x:row r="201" ht="27" customHeight="1">
      <x:c r="A201" s="2"/>
      <x:c r="B201" s="2"/>
      <x:c r="C201" s="2"/>
      <x:c r="D201" s="2" t="str">
        <x:f>'계약원자료'!A201</x:f>
        <x:v>SIM-2025-0196</x:v>
      </x:c>
      <x:c r="E201" s="2" t="n">
        <x:f>COUNTIF('계약원자료'!$A$6:$A$305,D201)</x:f>
        <x:v>1</x:v>
      </x:c>
      <x:c r="F201" s="2"/>
    </x:row>
    <x:row r="202" ht="27" customHeight="1">
      <x:c r="A202" s="2"/>
      <x:c r="B202" s="2"/>
      <x:c r="C202" s="2"/>
      <x:c r="D202" s="2" t="str">
        <x:f>'계약원자료'!A202</x:f>
        <x:v>SIM-2025-0197</x:v>
      </x:c>
      <x:c r="E202" s="2" t="n">
        <x:f>COUNTIF('계약원자료'!$A$6:$A$305,D202)</x:f>
        <x:v>1</x:v>
      </x:c>
      <x:c r="F202" s="2"/>
    </x:row>
    <x:row r="203" ht="27" customHeight="1">
      <x:c r="A203" s="2"/>
      <x:c r="B203" s="2"/>
      <x:c r="C203" s="2"/>
      <x:c r="D203" s="2" t="str">
        <x:f>'계약원자료'!A203</x:f>
        <x:v>SIM-2025-0198</x:v>
      </x:c>
      <x:c r="E203" s="2" t="n">
        <x:f>COUNTIF('계약원자료'!$A$6:$A$305,D203)</x:f>
        <x:v>1</x:v>
      </x:c>
      <x:c r="F203" s="2"/>
    </x:row>
    <x:row r="204" ht="27" customHeight="1">
      <x:c r="A204" s="2"/>
      <x:c r="B204" s="2"/>
      <x:c r="C204" s="2"/>
      <x:c r="D204" s="2" t="str">
        <x:f>'계약원자료'!A204</x:f>
        <x:v>SIM-2025-0199</x:v>
      </x:c>
      <x:c r="E204" s="2" t="n">
        <x:f>COUNTIF('계약원자료'!$A$6:$A$305,D204)</x:f>
        <x:v>1</x:v>
      </x:c>
      <x:c r="F204" s="2"/>
    </x:row>
    <x:row r="205" ht="27" customHeight="1">
      <x:c r="A205" s="2"/>
      <x:c r="B205" s="2"/>
      <x:c r="C205" s="2"/>
      <x:c r="D205" s="2" t="str">
        <x:f>'계약원자료'!A205</x:f>
        <x:v>SIM-2025-0200</x:v>
      </x:c>
      <x:c r="E205" s="2" t="n">
        <x:f>COUNTIF('계약원자료'!$A$6:$A$305,D205)</x:f>
        <x:v>1</x:v>
      </x:c>
      <x:c r="F205" s="2"/>
    </x:row>
    <x:row r="206" ht="27" customHeight="1">
      <x:c r="A206" s="2"/>
      <x:c r="B206" s="2"/>
      <x:c r="C206" s="2"/>
      <x:c r="D206" s="2" t="str">
        <x:f>'계약원자료'!A206</x:f>
        <x:v>SIM-2025-0201</x:v>
      </x:c>
      <x:c r="E206" s="2" t="n">
        <x:f>COUNTIF('계약원자료'!$A$6:$A$305,D206)</x:f>
        <x:v>1</x:v>
      </x:c>
      <x:c r="F206" s="2"/>
    </x:row>
    <x:row r="207" ht="27" customHeight="1">
      <x:c r="A207" s="2"/>
      <x:c r="B207" s="2"/>
      <x:c r="C207" s="2"/>
      <x:c r="D207" s="2" t="str">
        <x:f>'계약원자료'!A207</x:f>
        <x:v>SIM-2025-0202</x:v>
      </x:c>
      <x:c r="E207" s="2" t="n">
        <x:f>COUNTIF('계약원자료'!$A$6:$A$305,D207)</x:f>
        <x:v>1</x:v>
      </x:c>
      <x:c r="F207" s="2"/>
    </x:row>
    <x:row r="208" ht="27" customHeight="1">
      <x:c r="A208" s="2"/>
      <x:c r="B208" s="2"/>
      <x:c r="C208" s="2"/>
      <x:c r="D208" s="2" t="str">
        <x:f>'계약원자료'!A208</x:f>
        <x:v>SIM-2025-0203</x:v>
      </x:c>
      <x:c r="E208" s="2" t="n">
        <x:f>COUNTIF('계약원자료'!$A$6:$A$305,D208)</x:f>
        <x:v>1</x:v>
      </x:c>
      <x:c r="F208" s="2"/>
    </x:row>
    <x:row r="209" ht="27" customHeight="1">
      <x:c r="A209" s="2"/>
      <x:c r="B209" s="2"/>
      <x:c r="C209" s="2"/>
      <x:c r="D209" s="2" t="str">
        <x:f>'계약원자료'!A209</x:f>
        <x:v>SIM-2025-0204</x:v>
      </x:c>
      <x:c r="E209" s="2" t="n">
        <x:f>COUNTIF('계약원자료'!$A$6:$A$305,D209)</x:f>
        <x:v>1</x:v>
      </x:c>
      <x:c r="F209" s="2"/>
    </x:row>
    <x:row r="210" ht="27" customHeight="1">
      <x:c r="A210" s="2"/>
      <x:c r="B210" s="2"/>
      <x:c r="C210" s="2"/>
      <x:c r="D210" s="2" t="str">
        <x:f>'계약원자료'!A210</x:f>
        <x:v>SIM-2025-0205</x:v>
      </x:c>
      <x:c r="E210" s="2" t="n">
        <x:f>COUNTIF('계약원자료'!$A$6:$A$305,D210)</x:f>
        <x:v>1</x:v>
      </x:c>
      <x:c r="F210" s="2"/>
    </x:row>
    <x:row r="211" ht="27" customHeight="1">
      <x:c r="A211" s="2"/>
      <x:c r="B211" s="2"/>
      <x:c r="C211" s="2"/>
      <x:c r="D211" s="2" t="str">
        <x:f>'계약원자료'!A211</x:f>
        <x:v>SIM-2025-0206</x:v>
      </x:c>
      <x:c r="E211" s="2" t="n">
        <x:f>COUNTIF('계약원자료'!$A$6:$A$305,D211)</x:f>
        <x:v>1</x:v>
      </x:c>
      <x:c r="F211" s="2"/>
    </x:row>
    <x:row r="212" ht="27" customHeight="1">
      <x:c r="A212" s="2"/>
      <x:c r="B212" s="2"/>
      <x:c r="C212" s="2"/>
      <x:c r="D212" s="2" t="str">
        <x:f>'계약원자료'!A212</x:f>
        <x:v>SIM-2025-0207</x:v>
      </x:c>
      <x:c r="E212" s="2" t="n">
        <x:f>COUNTIF('계약원자료'!$A$6:$A$305,D212)</x:f>
        <x:v>1</x:v>
      </x:c>
      <x:c r="F212" s="2"/>
    </x:row>
    <x:row r="213" ht="27" customHeight="1">
      <x:c r="A213" s="2"/>
      <x:c r="B213" s="2"/>
      <x:c r="C213" s="2"/>
      <x:c r="D213" s="2" t="str">
        <x:f>'계약원자료'!A213</x:f>
        <x:v>SIM-2025-0208</x:v>
      </x:c>
      <x:c r="E213" s="2" t="n">
        <x:f>COUNTIF('계약원자료'!$A$6:$A$305,D213)</x:f>
        <x:v>1</x:v>
      </x:c>
      <x:c r="F213" s="2"/>
    </x:row>
    <x:row r="214" ht="27" customHeight="1">
      <x:c r="A214" s="2"/>
      <x:c r="B214" s="2"/>
      <x:c r="C214" s="2"/>
      <x:c r="D214" s="2" t="str">
        <x:f>'계약원자료'!A214</x:f>
        <x:v>SIM-2025-0209</x:v>
      </x:c>
      <x:c r="E214" s="2" t="n">
        <x:f>COUNTIF('계약원자료'!$A$6:$A$305,D214)</x:f>
        <x:v>1</x:v>
      </x:c>
      <x:c r="F214" s="2"/>
    </x:row>
    <x:row r="215" ht="27" customHeight="1">
      <x:c r="A215" s="2"/>
      <x:c r="B215" s="2"/>
      <x:c r="C215" s="2"/>
      <x:c r="D215" s="2" t="str">
        <x:f>'계약원자료'!A215</x:f>
        <x:v>SIM-2025-0210</x:v>
      </x:c>
      <x:c r="E215" s="2" t="n">
        <x:f>COUNTIF('계약원자료'!$A$6:$A$305,D215)</x:f>
        <x:v>1</x:v>
      </x:c>
      <x:c r="F215" s="2"/>
    </x:row>
    <x:row r="216" ht="27" customHeight="1">
      <x:c r="A216" s="2"/>
      <x:c r="B216" s="2"/>
      <x:c r="C216" s="2"/>
      <x:c r="D216" s="2" t="str">
        <x:f>'계약원자료'!A216</x:f>
        <x:v>SIM-2025-0211</x:v>
      </x:c>
      <x:c r="E216" s="2" t="n">
        <x:f>COUNTIF('계약원자료'!$A$6:$A$305,D216)</x:f>
        <x:v>1</x:v>
      </x:c>
      <x:c r="F216" s="2"/>
    </x:row>
    <x:row r="217" ht="27" customHeight="1">
      <x:c r="A217" s="2"/>
      <x:c r="B217" s="2"/>
      <x:c r="C217" s="2"/>
      <x:c r="D217" s="2" t="str">
        <x:f>'계약원자료'!A217</x:f>
        <x:v>SIM-2025-0212</x:v>
      </x:c>
      <x:c r="E217" s="2" t="n">
        <x:f>COUNTIF('계약원자료'!$A$6:$A$305,D217)</x:f>
        <x:v>1</x:v>
      </x:c>
      <x:c r="F217" s="2"/>
    </x:row>
    <x:row r="218" ht="27" customHeight="1">
      <x:c r="A218" s="2"/>
      <x:c r="B218" s="2"/>
      <x:c r="C218" s="2"/>
      <x:c r="D218" s="2" t="str">
        <x:f>'계약원자료'!A218</x:f>
        <x:v>SIM-2025-0213</x:v>
      </x:c>
      <x:c r="E218" s="2" t="n">
        <x:f>COUNTIF('계약원자료'!$A$6:$A$305,D218)</x:f>
        <x:v>1</x:v>
      </x:c>
      <x:c r="F218" s="2"/>
    </x:row>
    <x:row r="219" ht="27" customHeight="1">
      <x:c r="A219" s="2"/>
      <x:c r="B219" s="2"/>
      <x:c r="C219" s="2"/>
      <x:c r="D219" s="2" t="str">
        <x:f>'계약원자료'!A219</x:f>
        <x:v>SIM-2025-0214</x:v>
      </x:c>
      <x:c r="E219" s="2" t="n">
        <x:f>COUNTIF('계약원자료'!$A$6:$A$305,D219)</x:f>
        <x:v>1</x:v>
      </x:c>
      <x:c r="F219" s="2"/>
    </x:row>
    <x:row r="220" ht="27" customHeight="1">
      <x:c r="A220" s="2"/>
      <x:c r="B220" s="2"/>
      <x:c r="C220" s="2"/>
      <x:c r="D220" s="2" t="str">
        <x:f>'계약원자료'!A220</x:f>
        <x:v>SIM-2025-0215</x:v>
      </x:c>
      <x:c r="E220" s="2" t="n">
        <x:f>COUNTIF('계약원자료'!$A$6:$A$305,D220)</x:f>
        <x:v>1</x:v>
      </x:c>
      <x:c r="F220" s="2"/>
    </x:row>
    <x:row r="221" ht="27" customHeight="1">
      <x:c r="A221" s="2"/>
      <x:c r="B221" s="2"/>
      <x:c r="C221" s="2"/>
      <x:c r="D221" s="2" t="str">
        <x:f>'계약원자료'!A221</x:f>
        <x:v>SIM-2025-0216</x:v>
      </x:c>
      <x:c r="E221" s="2" t="n">
        <x:f>COUNTIF('계약원자료'!$A$6:$A$305,D221)</x:f>
        <x:v>1</x:v>
      </x:c>
      <x:c r="F221" s="2"/>
    </x:row>
    <x:row r="222" ht="27" customHeight="1">
      <x:c r="A222" s="2"/>
      <x:c r="B222" s="2"/>
      <x:c r="C222" s="2"/>
      <x:c r="D222" s="2" t="str">
        <x:f>'계약원자료'!A222</x:f>
        <x:v>SIM-2025-0217</x:v>
      </x:c>
      <x:c r="E222" s="2" t="n">
        <x:f>COUNTIF('계약원자료'!$A$6:$A$305,D222)</x:f>
        <x:v>1</x:v>
      </x:c>
      <x:c r="F222" s="2"/>
    </x:row>
    <x:row r="223" ht="27" customHeight="1">
      <x:c r="A223" s="2"/>
      <x:c r="B223" s="2"/>
      <x:c r="C223" s="2"/>
      <x:c r="D223" s="2" t="str">
        <x:f>'계약원자료'!A223</x:f>
        <x:v>SIM-2025-0218</x:v>
      </x:c>
      <x:c r="E223" s="2" t="n">
        <x:f>COUNTIF('계약원자료'!$A$6:$A$305,D223)</x:f>
        <x:v>1</x:v>
      </x:c>
      <x:c r="F223" s="2"/>
    </x:row>
    <x:row r="224" ht="27" customHeight="1">
      <x:c r="A224" s="2"/>
      <x:c r="B224" s="2"/>
      <x:c r="C224" s="2"/>
      <x:c r="D224" s="2" t="str">
        <x:f>'계약원자료'!A224</x:f>
        <x:v>SIM-2025-0219</x:v>
      </x:c>
      <x:c r="E224" s="2" t="n">
        <x:f>COUNTIF('계약원자료'!$A$6:$A$305,D224)</x:f>
        <x:v>1</x:v>
      </x:c>
      <x:c r="F224" s="2"/>
    </x:row>
    <x:row r="225" ht="27" customHeight="1">
      <x:c r="A225" s="2"/>
      <x:c r="B225" s="2"/>
      <x:c r="C225" s="2"/>
      <x:c r="D225" s="2" t="str">
        <x:f>'계약원자료'!A225</x:f>
        <x:v>SIM-2025-0220</x:v>
      </x:c>
      <x:c r="E225" s="2" t="n">
        <x:f>COUNTIF('계약원자료'!$A$6:$A$305,D225)</x:f>
        <x:v>1</x:v>
      </x:c>
      <x:c r="F225" s="2"/>
    </x:row>
    <x:row r="226" ht="27" customHeight="1">
      <x:c r="A226" s="2"/>
      <x:c r="B226" s="2"/>
      <x:c r="C226" s="2"/>
      <x:c r="D226" s="2" t="str">
        <x:f>'계약원자료'!A226</x:f>
        <x:v>SIM-2025-0221</x:v>
      </x:c>
      <x:c r="E226" s="2" t="n">
        <x:f>COUNTIF('계약원자료'!$A$6:$A$305,D226)</x:f>
        <x:v>1</x:v>
      </x:c>
      <x:c r="F226" s="2"/>
    </x:row>
    <x:row r="227" ht="27" customHeight="1">
      <x:c r="A227" s="2"/>
      <x:c r="B227" s="2"/>
      <x:c r="C227" s="2"/>
      <x:c r="D227" s="2" t="str">
        <x:f>'계약원자료'!A227</x:f>
        <x:v>SIM-2025-0222</x:v>
      </x:c>
      <x:c r="E227" s="2" t="n">
        <x:f>COUNTIF('계약원자료'!$A$6:$A$305,D227)</x:f>
        <x:v>1</x:v>
      </x:c>
      <x:c r="F227" s="2"/>
    </x:row>
    <x:row r="228" ht="27" customHeight="1">
      <x:c r="A228" s="2"/>
      <x:c r="B228" s="2"/>
      <x:c r="C228" s="2"/>
      <x:c r="D228" s="2" t="str">
        <x:f>'계약원자료'!A228</x:f>
        <x:v>SIM-2025-0223</x:v>
      </x:c>
      <x:c r="E228" s="2" t="n">
        <x:f>COUNTIF('계약원자료'!$A$6:$A$305,D228)</x:f>
        <x:v>1</x:v>
      </x:c>
      <x:c r="F228" s="2"/>
    </x:row>
    <x:row r="229" ht="27" customHeight="1">
      <x:c r="A229" s="2"/>
      <x:c r="B229" s="2"/>
      <x:c r="C229" s="2"/>
      <x:c r="D229" s="2" t="str">
        <x:f>'계약원자료'!A229</x:f>
        <x:v>SIM-2025-0224</x:v>
      </x:c>
      <x:c r="E229" s="2" t="n">
        <x:f>COUNTIF('계약원자료'!$A$6:$A$305,D229)</x:f>
        <x:v>1</x:v>
      </x:c>
      <x:c r="F229" s="2"/>
    </x:row>
    <x:row r="230" ht="27" customHeight="1">
      <x:c r="A230" s="2"/>
      <x:c r="B230" s="2"/>
      <x:c r="C230" s="2"/>
      <x:c r="D230" s="2" t="str">
        <x:f>'계약원자료'!A230</x:f>
        <x:v>SIM-2025-0225</x:v>
      </x:c>
      <x:c r="E230" s="2" t="n">
        <x:f>COUNTIF('계약원자료'!$A$6:$A$305,D230)</x:f>
        <x:v>1</x:v>
      </x:c>
      <x:c r="F230" s="2"/>
    </x:row>
    <x:row r="231" ht="27" customHeight="1">
      <x:c r="A231" s="2"/>
      <x:c r="B231" s="2"/>
      <x:c r="C231" s="2"/>
      <x:c r="D231" s="2" t="str">
        <x:f>'계약원자료'!A231</x:f>
        <x:v>SIM-2025-0226</x:v>
      </x:c>
      <x:c r="E231" s="2" t="n">
        <x:f>COUNTIF('계약원자료'!$A$6:$A$305,D231)</x:f>
        <x:v>1</x:v>
      </x:c>
      <x:c r="F231" s="2"/>
    </x:row>
    <x:row r="232" ht="27" customHeight="1">
      <x:c r="A232" s="2"/>
      <x:c r="B232" s="2"/>
      <x:c r="C232" s="2"/>
      <x:c r="D232" s="2" t="str">
        <x:f>'계약원자료'!A232</x:f>
        <x:v>SIM-2025-0227</x:v>
      </x:c>
      <x:c r="E232" s="2" t="n">
        <x:f>COUNTIF('계약원자료'!$A$6:$A$305,D232)</x:f>
        <x:v>1</x:v>
      </x:c>
      <x:c r="F232" s="2"/>
    </x:row>
    <x:row r="233" ht="27" customHeight="1">
      <x:c r="A233" s="2"/>
      <x:c r="B233" s="2"/>
      <x:c r="C233" s="2"/>
      <x:c r="D233" s="2" t="str">
        <x:f>'계약원자료'!A233</x:f>
        <x:v>SIM-2025-0228</x:v>
      </x:c>
      <x:c r="E233" s="2" t="n">
        <x:f>COUNTIF('계약원자료'!$A$6:$A$305,D233)</x:f>
        <x:v>1</x:v>
      </x:c>
      <x:c r="F233" s="2"/>
    </x:row>
    <x:row r="234" ht="27" customHeight="1">
      <x:c r="A234" s="2"/>
      <x:c r="B234" s="2"/>
      <x:c r="C234" s="2"/>
      <x:c r="D234" s="2" t="str">
        <x:f>'계약원자료'!A234</x:f>
        <x:v>SIM-2025-0229</x:v>
      </x:c>
      <x:c r="E234" s="2" t="n">
        <x:f>COUNTIF('계약원자료'!$A$6:$A$305,D234)</x:f>
        <x:v>1</x:v>
      </x:c>
      <x:c r="F234" s="2"/>
    </x:row>
    <x:row r="235" ht="27" customHeight="1">
      <x:c r="A235" s="2"/>
      <x:c r="B235" s="2"/>
      <x:c r="C235" s="2"/>
      <x:c r="D235" s="2" t="str">
        <x:f>'계약원자료'!A235</x:f>
        <x:v>SIM-2025-0230</x:v>
      </x:c>
      <x:c r="E235" s="2" t="n">
        <x:f>COUNTIF('계약원자료'!$A$6:$A$305,D235)</x:f>
        <x:v>1</x:v>
      </x:c>
      <x:c r="F235" s="2"/>
    </x:row>
    <x:row r="236" ht="27" customHeight="1">
      <x:c r="A236" s="2"/>
      <x:c r="B236" s="2"/>
      <x:c r="C236" s="2"/>
      <x:c r="D236" s="2" t="str">
        <x:f>'계약원자료'!A236</x:f>
        <x:v>SIM-2025-0231</x:v>
      </x:c>
      <x:c r="E236" s="2" t="n">
        <x:f>COUNTIF('계약원자료'!$A$6:$A$305,D236)</x:f>
        <x:v>1</x:v>
      </x:c>
      <x:c r="F236" s="2"/>
    </x:row>
    <x:row r="237" ht="27" customHeight="1">
      <x:c r="A237" s="2"/>
      <x:c r="B237" s="2"/>
      <x:c r="C237" s="2"/>
      <x:c r="D237" s="2" t="str">
        <x:f>'계약원자료'!A237</x:f>
        <x:v>SIM-2025-0232</x:v>
      </x:c>
      <x:c r="E237" s="2" t="n">
        <x:f>COUNTIF('계약원자료'!$A$6:$A$305,D237)</x:f>
        <x:v>1</x:v>
      </x:c>
      <x:c r="F237" s="2"/>
    </x:row>
    <x:row r="238" ht="27" customHeight="1">
      <x:c r="A238" s="2"/>
      <x:c r="B238" s="2"/>
      <x:c r="C238" s="2"/>
      <x:c r="D238" s="2" t="str">
        <x:f>'계약원자료'!A238</x:f>
        <x:v>SIM-2025-0233</x:v>
      </x:c>
      <x:c r="E238" s="2" t="n">
        <x:f>COUNTIF('계약원자료'!$A$6:$A$305,D238)</x:f>
        <x:v>1</x:v>
      </x:c>
      <x:c r="F238" s="2"/>
    </x:row>
    <x:row r="239" ht="27" customHeight="1">
      <x:c r="A239" s="2"/>
      <x:c r="B239" s="2"/>
      <x:c r="C239" s="2"/>
      <x:c r="D239" s="2" t="str">
        <x:f>'계약원자료'!A239</x:f>
        <x:v>SIM-2025-0234</x:v>
      </x:c>
      <x:c r="E239" s="2" t="n">
        <x:f>COUNTIF('계약원자료'!$A$6:$A$305,D239)</x:f>
        <x:v>1</x:v>
      </x:c>
      <x:c r="F239" s="2"/>
    </x:row>
    <x:row r="240" ht="27" customHeight="1">
      <x:c r="A240" s="2"/>
      <x:c r="B240" s="2"/>
      <x:c r="C240" s="2"/>
      <x:c r="D240" s="2" t="str">
        <x:f>'계약원자료'!A240</x:f>
        <x:v>SIM-2025-0235</x:v>
      </x:c>
      <x:c r="E240" s="2" t="n">
        <x:f>COUNTIF('계약원자료'!$A$6:$A$305,D240)</x:f>
        <x:v>1</x:v>
      </x:c>
      <x:c r="F240" s="2"/>
    </x:row>
    <x:row r="241" ht="27" customHeight="1">
      <x:c r="A241" s="2"/>
      <x:c r="B241" s="2"/>
      <x:c r="C241" s="2"/>
      <x:c r="D241" s="2" t="str">
        <x:f>'계약원자료'!A241</x:f>
        <x:v>SIM-2025-0236</x:v>
      </x:c>
      <x:c r="E241" s="2" t="n">
        <x:f>COUNTIF('계약원자료'!$A$6:$A$305,D241)</x:f>
        <x:v>1</x:v>
      </x:c>
      <x:c r="F241" s="2"/>
    </x:row>
    <x:row r="242" ht="27" customHeight="1">
      <x:c r="A242" s="2"/>
      <x:c r="B242" s="2"/>
      <x:c r="C242" s="2"/>
      <x:c r="D242" s="2" t="str">
        <x:f>'계약원자료'!A242</x:f>
        <x:v>SIM-2025-0237</x:v>
      </x:c>
      <x:c r="E242" s="2" t="n">
        <x:f>COUNTIF('계약원자료'!$A$6:$A$305,D242)</x:f>
        <x:v>1</x:v>
      </x:c>
      <x:c r="F242" s="2"/>
    </x:row>
    <x:row r="243" ht="27" customHeight="1">
      <x:c r="A243" s="2"/>
      <x:c r="B243" s="2"/>
      <x:c r="C243" s="2"/>
      <x:c r="D243" s="2" t="str">
        <x:f>'계약원자료'!A243</x:f>
        <x:v>SIM-2025-0238</x:v>
      </x:c>
      <x:c r="E243" s="2" t="n">
        <x:f>COUNTIF('계약원자료'!$A$6:$A$305,D243)</x:f>
        <x:v>1</x:v>
      </x:c>
      <x:c r="F243" s="2"/>
    </x:row>
    <x:row r="244" ht="27" customHeight="1">
      <x:c r="A244" s="2"/>
      <x:c r="B244" s="2"/>
      <x:c r="C244" s="2"/>
      <x:c r="D244" s="2" t="str">
        <x:f>'계약원자료'!A244</x:f>
        <x:v>SIM-2025-0239</x:v>
      </x:c>
      <x:c r="E244" s="2" t="n">
        <x:f>COUNTIF('계약원자료'!$A$6:$A$305,D244)</x:f>
        <x:v>1</x:v>
      </x:c>
      <x:c r="F244" s="2"/>
    </x:row>
    <x:row r="245" ht="27" customHeight="1">
      <x:c r="A245" s="2"/>
      <x:c r="B245" s="2"/>
      <x:c r="C245" s="2"/>
      <x:c r="D245" s="2" t="str">
        <x:f>'계약원자료'!A245</x:f>
        <x:v>SIM-2025-0240</x:v>
      </x:c>
      <x:c r="E245" s="2" t="n">
        <x:f>COUNTIF('계약원자료'!$A$6:$A$305,D245)</x:f>
        <x:v>1</x:v>
      </x:c>
      <x:c r="F245" s="2"/>
    </x:row>
    <x:row r="246" ht="27" customHeight="1">
      <x:c r="A246" s="2"/>
      <x:c r="B246" s="2"/>
      <x:c r="C246" s="2"/>
      <x:c r="D246" s="2" t="str">
        <x:f>'계약원자료'!A246</x:f>
        <x:v>SIM-2025-0241</x:v>
      </x:c>
      <x:c r="E246" s="2" t="n">
        <x:f>COUNTIF('계약원자료'!$A$6:$A$305,D246)</x:f>
        <x:v>1</x:v>
      </x:c>
      <x:c r="F246" s="2"/>
    </x:row>
    <x:row r="247" ht="27" customHeight="1">
      <x:c r="A247" s="2"/>
      <x:c r="B247" s="2"/>
      <x:c r="C247" s="2"/>
      <x:c r="D247" s="2" t="str">
        <x:f>'계약원자료'!A247</x:f>
        <x:v>SIM-2025-0242</x:v>
      </x:c>
      <x:c r="E247" s="2" t="n">
        <x:f>COUNTIF('계약원자료'!$A$6:$A$305,D247)</x:f>
        <x:v>1</x:v>
      </x:c>
      <x:c r="F247" s="2"/>
    </x:row>
    <x:row r="248" ht="27" customHeight="1">
      <x:c r="A248" s="2"/>
      <x:c r="B248" s="2"/>
      <x:c r="C248" s="2"/>
      <x:c r="D248" s="2" t="str">
        <x:f>'계약원자료'!A248</x:f>
        <x:v>SIM-2025-0243</x:v>
      </x:c>
      <x:c r="E248" s="2" t="n">
        <x:f>COUNTIF('계약원자료'!$A$6:$A$305,D248)</x:f>
        <x:v>1</x:v>
      </x:c>
      <x:c r="F248" s="2"/>
    </x:row>
    <x:row r="249" ht="27" customHeight="1">
      <x:c r="A249" s="2"/>
      <x:c r="B249" s="2"/>
      <x:c r="C249" s="2"/>
      <x:c r="D249" s="2" t="str">
        <x:f>'계약원자료'!A249</x:f>
        <x:v>SIM-2025-0244</x:v>
      </x:c>
      <x:c r="E249" s="2" t="n">
        <x:f>COUNTIF('계약원자료'!$A$6:$A$305,D249)</x:f>
        <x:v>1</x:v>
      </x:c>
      <x:c r="F249" s="2"/>
    </x:row>
    <x:row r="250" ht="27" customHeight="1">
      <x:c r="A250" s="2"/>
      <x:c r="B250" s="2"/>
      <x:c r="C250" s="2"/>
      <x:c r="D250" s="2" t="str">
        <x:f>'계약원자료'!A250</x:f>
        <x:v>SIM-2025-0245</x:v>
      </x:c>
      <x:c r="E250" s="2" t="n">
        <x:f>COUNTIF('계약원자료'!$A$6:$A$305,D250)</x:f>
        <x:v>1</x:v>
      </x:c>
      <x:c r="F250" s="2"/>
    </x:row>
    <x:row r="251" ht="27" customHeight="1">
      <x:c r="A251" s="2"/>
      <x:c r="B251" s="2"/>
      <x:c r="C251" s="2"/>
      <x:c r="D251" s="2" t="str">
        <x:f>'계약원자료'!A251</x:f>
        <x:v>SIM-2025-0246</x:v>
      </x:c>
      <x:c r="E251" s="2" t="n">
        <x:f>COUNTIF('계약원자료'!$A$6:$A$305,D251)</x:f>
        <x:v>1</x:v>
      </x:c>
      <x:c r="F251" s="2"/>
    </x:row>
    <x:row r="252" ht="27" customHeight="1">
      <x:c r="A252" s="2"/>
      <x:c r="B252" s="2"/>
      <x:c r="C252" s="2"/>
      <x:c r="D252" s="2" t="str">
        <x:f>'계약원자료'!A252</x:f>
        <x:v>SIM-2025-0247</x:v>
      </x:c>
      <x:c r="E252" s="2" t="n">
        <x:f>COUNTIF('계약원자료'!$A$6:$A$305,D252)</x:f>
        <x:v>1</x:v>
      </x:c>
      <x:c r="F252" s="2"/>
    </x:row>
    <x:row r="253" ht="27" customHeight="1">
      <x:c r="A253" s="2"/>
      <x:c r="B253" s="2"/>
      <x:c r="C253" s="2"/>
      <x:c r="D253" s="2" t="str">
        <x:f>'계약원자료'!A253</x:f>
        <x:v>SIM-2025-0248</x:v>
      </x:c>
      <x:c r="E253" s="2" t="n">
        <x:f>COUNTIF('계약원자료'!$A$6:$A$305,D253)</x:f>
        <x:v>1</x:v>
      </x:c>
      <x:c r="F253" s="2"/>
    </x:row>
    <x:row r="254" ht="27" customHeight="1">
      <x:c r="A254" s="2"/>
      <x:c r="B254" s="2"/>
      <x:c r="C254" s="2"/>
      <x:c r="D254" s="2" t="str">
        <x:f>'계약원자료'!A254</x:f>
        <x:v>SIM-2025-0249</x:v>
      </x:c>
      <x:c r="E254" s="2" t="n">
        <x:f>COUNTIF('계약원자료'!$A$6:$A$305,D254)</x:f>
        <x:v>1</x:v>
      </x:c>
      <x:c r="F254" s="2"/>
    </x:row>
    <x:row r="255" ht="27" customHeight="1">
      <x:c r="A255" s="2"/>
      <x:c r="B255" s="2"/>
      <x:c r="C255" s="2"/>
      <x:c r="D255" s="2" t="str">
        <x:f>'계약원자료'!A255</x:f>
        <x:v>SIM-2025-0250</x:v>
      </x:c>
      <x:c r="E255" s="2" t="n">
        <x:f>COUNTIF('계약원자료'!$A$6:$A$305,D255)</x:f>
        <x:v>1</x:v>
      </x:c>
      <x:c r="F255" s="2"/>
    </x:row>
    <x:row r="256" ht="27" customHeight="1">
      <x:c r="A256" s="2"/>
      <x:c r="B256" s="2"/>
      <x:c r="C256" s="2"/>
      <x:c r="D256" s="2" t="str">
        <x:f>'계약원자료'!A256</x:f>
        <x:v>SIM-2025-0251</x:v>
      </x:c>
      <x:c r="E256" s="2" t="n">
        <x:f>COUNTIF('계약원자료'!$A$6:$A$305,D256)</x:f>
        <x:v>1</x:v>
      </x:c>
      <x:c r="F256" s="2"/>
    </x:row>
    <x:row r="257" ht="27" customHeight="1">
      <x:c r="A257" s="2"/>
      <x:c r="B257" s="2"/>
      <x:c r="C257" s="2"/>
      <x:c r="D257" s="2" t="str">
        <x:f>'계약원자료'!A257</x:f>
        <x:v>SIM-2025-0252</x:v>
      </x:c>
      <x:c r="E257" s="2" t="n">
        <x:f>COUNTIF('계약원자료'!$A$6:$A$305,D257)</x:f>
        <x:v>1</x:v>
      </x:c>
      <x:c r="F257" s="2"/>
    </x:row>
    <x:row r="258" ht="27" customHeight="1">
      <x:c r="A258" s="2"/>
      <x:c r="B258" s="2"/>
      <x:c r="C258" s="2"/>
      <x:c r="D258" s="2" t="str">
        <x:f>'계약원자료'!A258</x:f>
        <x:v>SIM-2025-0253</x:v>
      </x:c>
      <x:c r="E258" s="2" t="n">
        <x:f>COUNTIF('계약원자료'!$A$6:$A$305,D258)</x:f>
        <x:v>1</x:v>
      </x:c>
      <x:c r="F258" s="2"/>
    </x:row>
    <x:row r="259" ht="27" customHeight="1">
      <x:c r="A259" s="2"/>
      <x:c r="B259" s="2"/>
      <x:c r="C259" s="2"/>
      <x:c r="D259" s="2" t="str">
        <x:f>'계약원자료'!A259</x:f>
        <x:v>SIM-2025-0254</x:v>
      </x:c>
      <x:c r="E259" s="2" t="n">
        <x:f>COUNTIF('계약원자료'!$A$6:$A$305,D259)</x:f>
        <x:v>1</x:v>
      </x:c>
      <x:c r="F259" s="2"/>
    </x:row>
    <x:row r="260" ht="27" customHeight="1">
      <x:c r="A260" s="2"/>
      <x:c r="B260" s="2"/>
      <x:c r="C260" s="2"/>
      <x:c r="D260" s="2" t="str">
        <x:f>'계약원자료'!A260</x:f>
        <x:v>SIM-2025-0255</x:v>
      </x:c>
      <x:c r="E260" s="2" t="n">
        <x:f>COUNTIF('계약원자료'!$A$6:$A$305,D260)</x:f>
        <x:v>1</x:v>
      </x:c>
      <x:c r="F260" s="2"/>
    </x:row>
    <x:row r="261" ht="27" customHeight="1">
      <x:c r="A261" s="2"/>
      <x:c r="B261" s="2"/>
      <x:c r="C261" s="2"/>
      <x:c r="D261" s="2" t="str">
        <x:f>'계약원자료'!A261</x:f>
        <x:v>SIM-2025-0256</x:v>
      </x:c>
      <x:c r="E261" s="2" t="n">
        <x:f>COUNTIF('계약원자료'!$A$6:$A$305,D261)</x:f>
        <x:v>1</x:v>
      </x:c>
      <x:c r="F261" s="2"/>
    </x:row>
    <x:row r="262" ht="27" customHeight="1">
      <x:c r="A262" s="2"/>
      <x:c r="B262" s="2"/>
      <x:c r="C262" s="2"/>
      <x:c r="D262" s="2" t="str">
        <x:f>'계약원자료'!A262</x:f>
        <x:v>SIM-2025-0257</x:v>
      </x:c>
      <x:c r="E262" s="2" t="n">
        <x:f>COUNTIF('계약원자료'!$A$6:$A$305,D262)</x:f>
        <x:v>1</x:v>
      </x:c>
      <x:c r="F262" s="2"/>
    </x:row>
    <x:row r="263" ht="27" customHeight="1">
      <x:c r="A263" s="2"/>
      <x:c r="B263" s="2"/>
      <x:c r="C263" s="2"/>
      <x:c r="D263" s="2" t="str">
        <x:f>'계약원자료'!A263</x:f>
        <x:v>SIM-2025-0258</x:v>
      </x:c>
      <x:c r="E263" s="2" t="n">
        <x:f>COUNTIF('계약원자료'!$A$6:$A$305,D263)</x:f>
        <x:v>1</x:v>
      </x:c>
      <x:c r="F263" s="2"/>
    </x:row>
    <x:row r="264" ht="27" customHeight="1">
      <x:c r="A264" s="2"/>
      <x:c r="B264" s="2"/>
      <x:c r="C264" s="2"/>
      <x:c r="D264" s="2" t="str">
        <x:f>'계약원자료'!A264</x:f>
        <x:v>SIM-2025-0259</x:v>
      </x:c>
      <x:c r="E264" s="2" t="n">
        <x:f>COUNTIF('계약원자료'!$A$6:$A$305,D264)</x:f>
        <x:v>1</x:v>
      </x:c>
      <x:c r="F264" s="2"/>
    </x:row>
    <x:row r="265" ht="27" customHeight="1">
      <x:c r="A265" s="2"/>
      <x:c r="B265" s="2"/>
      <x:c r="C265" s="2"/>
      <x:c r="D265" s="2" t="str">
        <x:f>'계약원자료'!A265</x:f>
        <x:v>SIM-2025-0260</x:v>
      </x:c>
      <x:c r="E265" s="2" t="n">
        <x:f>COUNTIF('계약원자료'!$A$6:$A$305,D265)</x:f>
        <x:v>1</x:v>
      </x:c>
      <x:c r="F265" s="2"/>
    </x:row>
    <x:row r="266" ht="27" customHeight="1">
      <x:c r="A266" s="2"/>
      <x:c r="B266" s="2"/>
      <x:c r="C266" s="2"/>
      <x:c r="D266" s="2" t="str">
        <x:f>'계약원자료'!A266</x:f>
        <x:v>SIM-2025-0261</x:v>
      </x:c>
      <x:c r="E266" s="2" t="n">
        <x:f>COUNTIF('계약원자료'!$A$6:$A$305,D266)</x:f>
        <x:v>1</x:v>
      </x:c>
      <x:c r="F266" s="2"/>
    </x:row>
    <x:row r="267" ht="27" customHeight="1">
      <x:c r="A267" s="2"/>
      <x:c r="B267" s="2"/>
      <x:c r="C267" s="2"/>
      <x:c r="D267" s="2" t="str">
        <x:f>'계약원자료'!A267</x:f>
        <x:v>SIM-2025-0262</x:v>
      </x:c>
      <x:c r="E267" s="2" t="n">
        <x:f>COUNTIF('계약원자료'!$A$6:$A$305,D267)</x:f>
        <x:v>1</x:v>
      </x:c>
      <x:c r="F267" s="2"/>
    </x:row>
    <x:row r="268" ht="27" customHeight="1">
      <x:c r="A268" s="2"/>
      <x:c r="B268" s="2"/>
      <x:c r="C268" s="2"/>
      <x:c r="D268" s="2" t="str">
        <x:f>'계약원자료'!A268</x:f>
        <x:v>SIM-2025-0263</x:v>
      </x:c>
      <x:c r="E268" s="2" t="n">
        <x:f>COUNTIF('계약원자료'!$A$6:$A$305,D268)</x:f>
        <x:v>1</x:v>
      </x:c>
      <x:c r="F268" s="2"/>
    </x:row>
    <x:row r="269" ht="27" customHeight="1">
      <x:c r="A269" s="2"/>
      <x:c r="B269" s="2"/>
      <x:c r="C269" s="2"/>
      <x:c r="D269" s="2" t="str">
        <x:f>'계약원자료'!A269</x:f>
        <x:v>SIM-2025-0264</x:v>
      </x:c>
      <x:c r="E269" s="2" t="n">
        <x:f>COUNTIF('계약원자료'!$A$6:$A$305,D269)</x:f>
        <x:v>1</x:v>
      </x:c>
      <x:c r="F269" s="2"/>
    </x:row>
    <x:row r="270" ht="27" customHeight="1">
      <x:c r="A270" s="2"/>
      <x:c r="B270" s="2"/>
      <x:c r="C270" s="2"/>
      <x:c r="D270" s="2" t="str">
        <x:f>'계약원자료'!A270</x:f>
        <x:v>SIM-2025-0265</x:v>
      </x:c>
      <x:c r="E270" s="2" t="n">
        <x:f>COUNTIF('계약원자료'!$A$6:$A$305,D270)</x:f>
        <x:v>1</x:v>
      </x:c>
      <x:c r="F270" s="2"/>
    </x:row>
    <x:row r="271" ht="27" customHeight="1">
      <x:c r="A271" s="2"/>
      <x:c r="B271" s="2"/>
      <x:c r="C271" s="2"/>
      <x:c r="D271" s="2" t="str">
        <x:f>'계약원자료'!A271</x:f>
        <x:v>SIM-2025-0266</x:v>
      </x:c>
      <x:c r="E271" s="2" t="n">
        <x:f>COUNTIF('계약원자료'!$A$6:$A$305,D271)</x:f>
        <x:v>1</x:v>
      </x:c>
      <x:c r="F271" s="2"/>
    </x:row>
    <x:row r="272" ht="27" customHeight="1">
      <x:c r="A272" s="2"/>
      <x:c r="B272" s="2"/>
      <x:c r="C272" s="2"/>
      <x:c r="D272" s="2" t="str">
        <x:f>'계약원자료'!A272</x:f>
        <x:v>SIM-2025-0267</x:v>
      </x:c>
      <x:c r="E272" s="2" t="n">
        <x:f>COUNTIF('계약원자료'!$A$6:$A$305,D272)</x:f>
        <x:v>1</x:v>
      </x:c>
      <x:c r="F272" s="2"/>
    </x:row>
    <x:row r="273" ht="27" customHeight="1">
      <x:c r="A273" s="2"/>
      <x:c r="B273" s="2"/>
      <x:c r="C273" s="2"/>
      <x:c r="D273" s="2" t="str">
        <x:f>'계약원자료'!A273</x:f>
        <x:v>SIM-2025-0268</x:v>
      </x:c>
      <x:c r="E273" s="2" t="n">
        <x:f>COUNTIF('계약원자료'!$A$6:$A$305,D273)</x:f>
        <x:v>1</x:v>
      </x:c>
      <x:c r="F273" s="2"/>
    </x:row>
    <x:row r="274" ht="27" customHeight="1">
      <x:c r="A274" s="2"/>
      <x:c r="B274" s="2"/>
      <x:c r="C274" s="2"/>
      <x:c r="D274" s="2" t="str">
        <x:f>'계약원자료'!A274</x:f>
        <x:v>SIM-2025-0269</x:v>
      </x:c>
      <x:c r="E274" s="2" t="n">
        <x:f>COUNTIF('계약원자료'!$A$6:$A$305,D274)</x:f>
        <x:v>1</x:v>
      </x:c>
      <x:c r="F274" s="2"/>
    </x:row>
    <x:row r="275" ht="27" customHeight="1">
      <x:c r="A275" s="2"/>
      <x:c r="B275" s="2"/>
      <x:c r="C275" s="2"/>
      <x:c r="D275" s="2" t="str">
        <x:f>'계약원자료'!A275</x:f>
        <x:v>SIM-2025-0270</x:v>
      </x:c>
      <x:c r="E275" s="2" t="n">
        <x:f>COUNTIF('계약원자료'!$A$6:$A$305,D275)</x:f>
        <x:v>1</x:v>
      </x:c>
      <x:c r="F275" s="2"/>
    </x:row>
    <x:row r="276" ht="27" customHeight="1">
      <x:c r="A276" s="2"/>
      <x:c r="B276" s="2"/>
      <x:c r="C276" s="2"/>
      <x:c r="D276" s="2" t="str">
        <x:f>'계약원자료'!A276</x:f>
        <x:v>SIM-2025-0271</x:v>
      </x:c>
      <x:c r="E276" s="2" t="n">
        <x:f>COUNTIF('계약원자료'!$A$6:$A$305,D276)</x:f>
        <x:v>1</x:v>
      </x:c>
      <x:c r="F276" s="2"/>
    </x:row>
    <x:row r="277" ht="27" customHeight="1">
      <x:c r="A277" s="2"/>
      <x:c r="B277" s="2"/>
      <x:c r="C277" s="2"/>
      <x:c r="D277" s="2" t="str">
        <x:f>'계약원자료'!A277</x:f>
        <x:v>SIM-2025-0272</x:v>
      </x:c>
      <x:c r="E277" s="2" t="n">
        <x:f>COUNTIF('계약원자료'!$A$6:$A$305,D277)</x:f>
        <x:v>1</x:v>
      </x:c>
      <x:c r="F277" s="2"/>
    </x:row>
    <x:row r="278" ht="27" customHeight="1">
      <x:c r="A278" s="2"/>
      <x:c r="B278" s="2"/>
      <x:c r="C278" s="2"/>
      <x:c r="D278" s="2" t="str">
        <x:f>'계약원자료'!A278</x:f>
        <x:v>SIM-2025-0273</x:v>
      </x:c>
      <x:c r="E278" s="2" t="n">
        <x:f>COUNTIF('계약원자료'!$A$6:$A$305,D278)</x:f>
        <x:v>1</x:v>
      </x:c>
      <x:c r="F278" s="2"/>
    </x:row>
    <x:row r="279" ht="27" customHeight="1">
      <x:c r="A279" s="2"/>
      <x:c r="B279" s="2"/>
      <x:c r="C279" s="2"/>
      <x:c r="D279" s="2" t="str">
        <x:f>'계약원자료'!A279</x:f>
        <x:v>SIM-2025-0274</x:v>
      </x:c>
      <x:c r="E279" s="2" t="n">
        <x:f>COUNTIF('계약원자료'!$A$6:$A$305,D279)</x:f>
        <x:v>1</x:v>
      </x:c>
      <x:c r="F279" s="2"/>
    </x:row>
    <x:row r="280" ht="27" customHeight="1">
      <x:c r="A280" s="2"/>
      <x:c r="B280" s="2"/>
      <x:c r="C280" s="2"/>
      <x:c r="D280" s="2" t="str">
        <x:f>'계약원자료'!A280</x:f>
        <x:v>SIM-2025-0275</x:v>
      </x:c>
      <x:c r="E280" s="2" t="n">
        <x:f>COUNTIF('계약원자료'!$A$6:$A$305,D280)</x:f>
        <x:v>1</x:v>
      </x:c>
      <x:c r="F280" s="2"/>
    </x:row>
    <x:row r="281" ht="27" customHeight="1">
      <x:c r="A281" s="2"/>
      <x:c r="B281" s="2"/>
      <x:c r="C281" s="2"/>
      <x:c r="D281" s="2" t="str">
        <x:f>'계약원자료'!A281</x:f>
        <x:v>SIM-2025-0276</x:v>
      </x:c>
      <x:c r="E281" s="2" t="n">
        <x:f>COUNTIF('계약원자료'!$A$6:$A$305,D281)</x:f>
        <x:v>1</x:v>
      </x:c>
      <x:c r="F281" s="2"/>
    </x:row>
    <x:row r="282" ht="27" customHeight="1">
      <x:c r="A282" s="2"/>
      <x:c r="B282" s="2"/>
      <x:c r="C282" s="2"/>
      <x:c r="D282" s="2" t="str">
        <x:f>'계약원자료'!A282</x:f>
        <x:v>SIM-2025-0277</x:v>
      </x:c>
      <x:c r="E282" s="2" t="n">
        <x:f>COUNTIF('계약원자료'!$A$6:$A$305,D282)</x:f>
        <x:v>1</x:v>
      </x:c>
      <x:c r="F282" s="2"/>
    </x:row>
    <x:row r="283" ht="27" customHeight="1">
      <x:c r="A283" s="2"/>
      <x:c r="B283" s="2"/>
      <x:c r="C283" s="2"/>
      <x:c r="D283" s="2" t="str">
        <x:f>'계약원자료'!A283</x:f>
        <x:v>SIM-2025-0278</x:v>
      </x:c>
      <x:c r="E283" s="2" t="n">
        <x:f>COUNTIF('계약원자료'!$A$6:$A$305,D283)</x:f>
        <x:v>1</x:v>
      </x:c>
      <x:c r="F283" s="2"/>
    </x:row>
    <x:row r="284" ht="27" customHeight="1">
      <x:c r="A284" s="2"/>
      <x:c r="B284" s="2"/>
      <x:c r="C284" s="2"/>
      <x:c r="D284" s="2" t="str">
        <x:f>'계약원자료'!A284</x:f>
        <x:v>SIM-2025-0279</x:v>
      </x:c>
      <x:c r="E284" s="2" t="n">
        <x:f>COUNTIF('계약원자료'!$A$6:$A$305,D284)</x:f>
        <x:v>1</x:v>
      </x:c>
      <x:c r="F284" s="2"/>
    </x:row>
    <x:row r="285" ht="27" customHeight="1">
      <x:c r="A285" s="2"/>
      <x:c r="B285" s="2"/>
      <x:c r="C285" s="2"/>
      <x:c r="D285" s="2" t="str">
        <x:f>'계약원자료'!A285</x:f>
        <x:v>SIM-2025-0280</x:v>
      </x:c>
      <x:c r="E285" s="2" t="n">
        <x:f>COUNTIF('계약원자료'!$A$6:$A$305,D285)</x:f>
        <x:v>1</x:v>
      </x:c>
      <x:c r="F285" s="2"/>
    </x:row>
    <x:row r="286" ht="27" customHeight="1">
      <x:c r="A286" s="2"/>
      <x:c r="B286" s="2"/>
      <x:c r="C286" s="2"/>
      <x:c r="D286" s="2" t="str">
        <x:f>'계약원자료'!A286</x:f>
        <x:v>SIM-2025-0281</x:v>
      </x:c>
      <x:c r="E286" s="2" t="n">
        <x:f>COUNTIF('계약원자료'!$A$6:$A$305,D286)</x:f>
        <x:v>1</x:v>
      </x:c>
      <x:c r="F286" s="2"/>
    </x:row>
    <x:row r="287" ht="27" customHeight="1">
      <x:c r="A287" s="2"/>
      <x:c r="B287" s="2"/>
      <x:c r="C287" s="2"/>
      <x:c r="D287" s="2" t="str">
        <x:f>'계약원자료'!A287</x:f>
        <x:v>SIM-2025-0282</x:v>
      </x:c>
      <x:c r="E287" s="2" t="n">
        <x:f>COUNTIF('계약원자료'!$A$6:$A$305,D287)</x:f>
        <x:v>1</x:v>
      </x:c>
      <x:c r="F287" s="2"/>
    </x:row>
    <x:row r="288" ht="27" customHeight="1">
      <x:c r="A288" s="2"/>
      <x:c r="B288" s="2"/>
      <x:c r="C288" s="2"/>
      <x:c r="D288" s="2" t="str">
        <x:f>'계약원자료'!A288</x:f>
        <x:v>SIM-2025-0283</x:v>
      </x:c>
      <x:c r="E288" s="2" t="n">
        <x:f>COUNTIF('계약원자료'!$A$6:$A$305,D288)</x:f>
        <x:v>1</x:v>
      </x:c>
      <x:c r="F288" s="2"/>
    </x:row>
    <x:row r="289" ht="27" customHeight="1">
      <x:c r="A289" s="2"/>
      <x:c r="B289" s="2"/>
      <x:c r="C289" s="2"/>
      <x:c r="D289" s="2" t="str">
        <x:f>'계약원자료'!A289</x:f>
        <x:v>SIM-2025-0284</x:v>
      </x:c>
      <x:c r="E289" s="2" t="n">
        <x:f>COUNTIF('계약원자료'!$A$6:$A$305,D289)</x:f>
        <x:v>1</x:v>
      </x:c>
      <x:c r="F289" s="2"/>
    </x:row>
    <x:row r="290" ht="27" customHeight="1">
      <x:c r="A290" s="2"/>
      <x:c r="B290" s="2"/>
      <x:c r="C290" s="2"/>
      <x:c r="D290" s="2" t="str">
        <x:f>'계약원자료'!A290</x:f>
        <x:v>SIM-2025-0285</x:v>
      </x:c>
      <x:c r="E290" s="2" t="n">
        <x:f>COUNTIF('계약원자료'!$A$6:$A$305,D290)</x:f>
        <x:v>1</x:v>
      </x:c>
      <x:c r="F290" s="2"/>
    </x:row>
    <x:row r="291" ht="27" customHeight="1">
      <x:c r="A291" s="2"/>
      <x:c r="B291" s="2"/>
      <x:c r="C291" s="2"/>
      <x:c r="D291" s="2" t="str">
        <x:f>'계약원자료'!A291</x:f>
        <x:v>SIM-2025-0286</x:v>
      </x:c>
      <x:c r="E291" s="2" t="n">
        <x:f>COUNTIF('계약원자료'!$A$6:$A$305,D291)</x:f>
        <x:v>1</x:v>
      </x:c>
      <x:c r="F291" s="2"/>
    </x:row>
    <x:row r="292" ht="27" customHeight="1">
      <x:c r="A292" s="2"/>
      <x:c r="B292" s="2"/>
      <x:c r="C292" s="2"/>
      <x:c r="D292" s="2" t="str">
        <x:f>'계약원자료'!A292</x:f>
        <x:v>SIM-2025-0287</x:v>
      </x:c>
      <x:c r="E292" s="2" t="n">
        <x:f>COUNTIF('계약원자료'!$A$6:$A$305,D292)</x:f>
        <x:v>1</x:v>
      </x:c>
      <x:c r="F292" s="2"/>
    </x:row>
    <x:row r="293" ht="27" customHeight="1">
      <x:c r="A293" s="2"/>
      <x:c r="B293" s="2"/>
      <x:c r="C293" s="2"/>
      <x:c r="D293" s="2" t="str">
        <x:f>'계약원자료'!A293</x:f>
        <x:v>SIM-2025-0288</x:v>
      </x:c>
      <x:c r="E293" s="2" t="n">
        <x:f>COUNTIF('계약원자료'!$A$6:$A$305,D293)</x:f>
        <x:v>1</x:v>
      </x:c>
      <x:c r="F293" s="2"/>
    </x:row>
    <x:row r="294" ht="27" customHeight="1">
      <x:c r="A294" s="2"/>
      <x:c r="B294" s="2"/>
      <x:c r="C294" s="2"/>
      <x:c r="D294" s="2" t="str">
        <x:f>'계약원자료'!A294</x:f>
        <x:v>SIM-2025-0289</x:v>
      </x:c>
      <x:c r="E294" s="2" t="n">
        <x:f>COUNTIF('계약원자료'!$A$6:$A$305,D294)</x:f>
        <x:v>1</x:v>
      </x:c>
      <x:c r="F294" s="2"/>
    </x:row>
    <x:row r="295" ht="27" customHeight="1">
      <x:c r="A295" s="2"/>
      <x:c r="B295" s="2"/>
      <x:c r="C295" s="2"/>
      <x:c r="D295" s="2" t="str">
        <x:f>'계약원자료'!A295</x:f>
        <x:v>SIM-2025-0290</x:v>
      </x:c>
      <x:c r="E295" s="2" t="n">
        <x:f>COUNTIF('계약원자료'!$A$6:$A$305,D295)</x:f>
        <x:v>1</x:v>
      </x:c>
      <x:c r="F295" s="2"/>
    </x:row>
    <x:row r="296" ht="27" customHeight="1">
      <x:c r="A296" s="2"/>
      <x:c r="B296" s="2"/>
      <x:c r="C296" s="2"/>
      <x:c r="D296" s="2" t="str">
        <x:f>'계약원자료'!A296</x:f>
        <x:v>SIM-2025-0291</x:v>
      </x:c>
      <x:c r="E296" s="2" t="n">
        <x:f>COUNTIF('계약원자료'!$A$6:$A$305,D296)</x:f>
        <x:v>1</x:v>
      </x:c>
      <x:c r="F296" s="2"/>
    </x:row>
    <x:row r="297" ht="27" customHeight="1">
      <x:c r="A297" s="2"/>
      <x:c r="B297" s="2"/>
      <x:c r="C297" s="2"/>
      <x:c r="D297" s="2" t="str">
        <x:f>'계약원자료'!A297</x:f>
        <x:v>SIM-2025-0292</x:v>
      </x:c>
      <x:c r="E297" s="2" t="n">
        <x:f>COUNTIF('계약원자료'!$A$6:$A$305,D297)</x:f>
        <x:v>1</x:v>
      </x:c>
      <x:c r="F297" s="2"/>
    </x:row>
    <x:row r="298" ht="27" customHeight="1">
      <x:c r="A298" s="2"/>
      <x:c r="B298" s="2"/>
      <x:c r="C298" s="2"/>
      <x:c r="D298" s="2" t="str">
        <x:f>'계약원자료'!A298</x:f>
        <x:v>SIM-2025-0293</x:v>
      </x:c>
      <x:c r="E298" s="2" t="n">
        <x:f>COUNTIF('계약원자료'!$A$6:$A$305,D298)</x:f>
        <x:v>1</x:v>
      </x:c>
      <x:c r="F298" s="2"/>
    </x:row>
    <x:row r="299" ht="27" customHeight="1">
      <x:c r="A299" s="2"/>
      <x:c r="B299" s="2"/>
      <x:c r="C299" s="2"/>
      <x:c r="D299" s="2" t="str">
        <x:f>'계약원자료'!A299</x:f>
        <x:v>SIM-2025-0294</x:v>
      </x:c>
      <x:c r="E299" s="2" t="n">
        <x:f>COUNTIF('계약원자료'!$A$6:$A$305,D299)</x:f>
        <x:v>1</x:v>
      </x:c>
      <x:c r="F299" s="2"/>
    </x:row>
    <x:row r="300" ht="27" customHeight="1">
      <x:c r="A300" s="2"/>
      <x:c r="B300" s="2"/>
      <x:c r="C300" s="2"/>
      <x:c r="D300" s="2" t="str">
        <x:f>'계약원자료'!A300</x:f>
        <x:v>SIM-2025-0295</x:v>
      </x:c>
      <x:c r="E300" s="2" t="n">
        <x:f>COUNTIF('계약원자료'!$A$6:$A$305,D300)</x:f>
        <x:v>1</x:v>
      </x:c>
      <x:c r="F300" s="2"/>
    </x:row>
    <x:row r="301" ht="27" customHeight="1">
      <x:c r="A301" s="2"/>
      <x:c r="B301" s="2"/>
      <x:c r="C301" s="2"/>
      <x:c r="D301" s="2" t="str">
        <x:f>'계약원자료'!A301</x:f>
        <x:v>SIM-2025-0296</x:v>
      </x:c>
      <x:c r="E301" s="2" t="n">
        <x:f>COUNTIF('계약원자료'!$A$6:$A$305,D301)</x:f>
        <x:v>1</x:v>
      </x:c>
      <x:c r="F301" s="2"/>
    </x:row>
    <x:row r="302" ht="27" customHeight="1">
      <x:c r="A302" s="2"/>
      <x:c r="B302" s="2"/>
      <x:c r="C302" s="2"/>
      <x:c r="D302" s="2" t="str">
        <x:f>'계약원자료'!A302</x:f>
        <x:v>SIM-2025-0297</x:v>
      </x:c>
      <x:c r="E302" s="2" t="n">
        <x:f>COUNTIF('계약원자료'!$A$6:$A$305,D302)</x:f>
        <x:v>1</x:v>
      </x:c>
      <x:c r="F302" s="2"/>
    </x:row>
    <x:row r="303" ht="27" customHeight="1">
      <x:c r="A303" s="2"/>
      <x:c r="B303" s="2"/>
      <x:c r="C303" s="2"/>
      <x:c r="D303" s="2" t="str">
        <x:f>'계약원자료'!A303</x:f>
        <x:v>SIM-2025-0298</x:v>
      </x:c>
      <x:c r="E303" s="2" t="n">
        <x:f>COUNTIF('계약원자료'!$A$6:$A$305,D303)</x:f>
        <x:v>1</x:v>
      </x:c>
      <x:c r="F303" s="2"/>
    </x:row>
    <x:row r="304" ht="27" customHeight="1">
      <x:c r="A304" s="2"/>
      <x:c r="B304" s="2"/>
      <x:c r="C304" s="2"/>
      <x:c r="D304" s="2" t="str">
        <x:f>'계약원자료'!A304</x:f>
        <x:v>SIM-2025-0299</x:v>
      </x:c>
      <x:c r="E304" s="2" t="n">
        <x:f>COUNTIF('계약원자료'!$A$6:$A$305,D304)</x:f>
        <x:v>1</x:v>
      </x:c>
      <x:c r="F304" s="2"/>
    </x:row>
    <x:row r="305" ht="27" customHeight="1">
      <x:c r="A305" s="2"/>
      <x:c r="B305" s="2"/>
      <x:c r="C305" s="2"/>
      <x:c r="D305" s="2" t="str">
        <x:f>'계약원자료'!A305</x:f>
        <x:v>SIM-2025-0300</x:v>
      </x:c>
      <x:c r="E305" s="2" t="n">
        <x:f>COUNTIF('계약원자료'!$A$6:$A$305,D305)</x:f>
        <x:v>1</x:v>
      </x:c>
      <x:c r="F305" s="2"/>
    </x:row>
  </x:sheetData>
  <x:mergeCells>
    <x:mergeCell ref="A1:F1"/>
  </x:mergeCells>
  <x:pageMargins left="0.7" right="0.7" top="0.75" bottom="0.75" header="0.3" footer="0.3"/>
</x:worksheet>
</file>