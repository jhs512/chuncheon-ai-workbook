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b2462e739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관비교" sheetId="1" r:id="Rce90133c18f44679"/>
    <x:sheet xmlns:r="http://schemas.openxmlformats.org/officeDocument/2006/relationships" name="공시원자료" sheetId="2" r:id="Rcd2ac58c4915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0"/>
    <x:numFmt numFmtId="204" formatCode="#,##0.##"/>
  </x:numFmts>
  <x:fonts count="5">
    <x:font>
      <x:sz val="11"/>
      <x:name val="Carlito"/>
    </x:font>
    <x:font>
      <x:sz val="11"/>
      <x:color rgb="FF26334B"/>
      <x:name val="Malgun Gothic"/>
    </x:font>
    <x:font>
      <x:b/>
      <x:sz val="16"/>
      <x:color rgb="FF1D2945"/>
      <x:name val="Malgun Gothic"/>
    </x:font>
    <x:font>
      <x:sz val="10"/>
      <x:color rgb="FF765523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85C"/>
      </x:patternFill>
    </x:fill>
    <x:fill>
      <x:patternFill patternType="solid">
        <x:fgColor rgb="FFF1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e87f01f994062" /><Relationship Type="http://schemas.openxmlformats.org/officeDocument/2006/relationships/theme" Target="/xl/theme/theme1.xml" Id="R2c4963ac057e49c6" /><Relationship Type="http://schemas.openxmlformats.org/officeDocument/2006/relationships/sharedStrings" Target="/xl/sharedStrings.xml" Id="R62d354134a1d40fb" /><Relationship Type="http://schemas.openxmlformats.org/officeDocument/2006/relationships/worksheet" Target="/xl/worksheets/sheet1.xml" Id="Rce90133c18f44679" /><Relationship Type="http://schemas.openxmlformats.org/officeDocument/2006/relationships/worksheet" Target="/xl/worksheets/sheet2.xml" Id="Rcd2ac58c491541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06cf72227b4b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algun Gothic"/>
                <a:ea typeface="Malgun Gothic"/>
                <a:cs typeface="Malgun Gothic"/>
              </a:rPr>
              <a:t>직원 평균보수 비교 (천원)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2023 결산</c:v>
          </c:tx>
          <c:spPr>
            <a:solidFill xmlns:a="http://schemas.openxmlformats.org/drawingml/2006/main">
              <a:srgbClr val="314D84"/>
            </a:solidFill>
          </c:spPr>
          <c:invertIfNegative val="0"/>
          <c:cat>
            <c:strRef>
              <c:f>'기관비교'!$A$6:$A$8</c:f>
              <c:strCache>
                <c:ptCount val="0"/>
              </c:strCache>
            </c:strRef>
          </c:cat>
          <c:val>
            <c:numRef>
              <c:f>'기관비교'!$B$6:$B$8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2024 결산</c:v>
          </c:tx>
          <c:spPr>
            <a:solidFill xmlns:a="http://schemas.openxmlformats.org/drawingml/2006/main">
              <a:srgbClr val="79A1D2"/>
            </a:solidFill>
          </c:spPr>
          <c:invertIfNegative val="0"/>
          <c:cat>
            <c:strRef>
              <c:f>'기관비교'!$A$6:$A$8</c:f>
              <c:strCache>
                <c:ptCount val="0"/>
              </c:strCache>
            </c:strRef>
          </c:cat>
          <c:val>
            <c:numRef>
              <c:f>'기관비교'!$C$6:$C$8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2025 결산</c:v>
          </c:tx>
          <c:spPr>
            <a:solidFill xmlns:a="http://schemas.openxmlformats.org/drawingml/2006/main">
              <a:srgbClr val="E3AC50"/>
            </a:solidFill>
          </c:spPr>
          <c:invertIfNegative val="0"/>
          <c:cat>
            <c:strRef>
              <c:f>'기관비교'!$A$6:$A$8</c:f>
              <c:strCache>
                <c:ptCount val="0"/>
              </c:strCache>
            </c:strRef>
          </c:cat>
          <c:val>
            <c:numRef>
              <c:f>'기관비교'!$D$6:$D$8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6cf72227b4b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_0_0" displayName="Data_0_0" ref="A5:G8" headerRowCount="1" totalsRowCount="0" totalsRowShown="0">
  <x:tableColumns count="7">
    <x:tableColumn id="1" name="기관"/>
    <x:tableColumn id="2" name="2023 결산"/>
    <x:tableColumn id="3" name="2024 결산"/>
    <x:tableColumn id="4" name="2025 결산"/>
    <x:tableColumn id="5" name="전년 증가율"/>
    <x:tableColumn id="6" name="2025 종업원수"/>
    <x:tableColumn id="7" name="2025 근속개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0_1" displayName="Data_0_1" ref="A5:H20" headerRowCount="1" totalsRowCount="0" totalsRowShown="0">
  <x:tableColumns count="8">
    <x:tableColumn id="1" name="기관"/>
    <x:tableColumn id="2" name="연도"/>
    <x:tableColumn id="3" name="모집단"/>
    <x:tableColumn id="4" name="보수 천원"/>
    <x:tableColumn id="5" name="종업원수 명"/>
    <x:tableColumn id="6" name="근속 개월"/>
    <x:tableColumn id="7" name="출처 URL"/>
    <x:tableColumn id="8" name="확보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3b91e2ab8e48e9" /><Relationship Type="http://schemas.openxmlformats.org/officeDocument/2006/relationships/table" Target="/xl/tables/table1.xml" Id="R52c02c7d12c34e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e3df35cb6645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ALIO 직원 평균보수 비교</x:v>
      </x:c>
      <x:c r="B2" s="3"/>
      <x:c r="C2" s="3"/>
      <x:c r="D2" s="3"/>
      <x:c r="E2" s="3"/>
      <x:c r="F2" s="3"/>
      <x:c r="G2" s="3"/>
    </x:row>
    <x:row r="3" ht="42" customHeight="1">
      <x:c r="A3" s="5" t="str">
        <x:v>실제 공시 재구성 | 일반정규직 | 보수 단위 천원 | 종업원수는 연평균 환산 인원</x:v>
      </x:c>
      <x:c r="B3" s="5"/>
      <x:c r="C3" s="5"/>
      <x:c r="D3" s="5"/>
      <x:c r="E3" s="5"/>
      <x:c r="F3" s="5"/>
      <x:c r="G3" s="5"/>
    </x:row>
    <x:row r="4" ht="25" customHeight="1">
      <x:c r="A4" s="2"/>
      <x:c r="B4" s="2"/>
      <x:c r="C4" s="2"/>
      <x:c r="D4" s="2"/>
      <x:c r="E4" s="2"/>
      <x:c r="F4" s="2"/>
      <x:c r="G4" s="2"/>
    </x:row>
    <x:row r="5" ht="40" customHeight="1">
      <x:c r="A5" s="9" t="str">
        <x:v>기관</x:v>
      </x:c>
      <x:c r="B5" s="9" t="str">
        <x:v>2023 결산</x:v>
      </x:c>
      <x:c r="C5" s="9" t="str">
        <x:v>2024 결산</x:v>
      </x:c>
      <x:c r="D5" s="9" t="str">
        <x:v>2025 결산</x:v>
      </x:c>
      <x:c r="E5" s="9" t="str">
        <x:v>전년 증가율</x:v>
      </x:c>
      <x:c r="F5" s="9" t="str">
        <x:v>2025 종업원수</x:v>
      </x:c>
      <x:c r="G5" s="9" t="str">
        <x:v>2025 근속개월</x:v>
      </x:c>
    </x:row>
    <x:row r="6" ht="25" customHeight="1">
      <x:c r="A6" s="10" t="str">
        <x:v>통일연구원</x:v>
      </x:c>
      <x:c r="B6" s="11" t="n">
        <x:f>SUMIFS('공시원자료'!$D$6:$D$20,'공시원자료'!$A$6:$A$20,A6,'공시원자료'!$B$6:$B$20,2023)</x:f>
        <x:v>65320</x:v>
      </x:c>
      <x:c r="C6" s="11" t="n">
        <x:f>SUMIFS('공시원자료'!$D$6:$D$20,'공시원자료'!$A$6:$A$20,A6,'공시원자료'!$B$6:$B$20,2024)</x:f>
        <x:v>65541</x:v>
      </x:c>
      <x:c r="D6" s="11" t="n">
        <x:f>SUMIFS('공시원자료'!$D$6:$D$20,'공시원자료'!$A$6:$A$20,A6,'공시원자료'!$B$6:$B$20,2025)</x:f>
        <x:v>67356</x:v>
      </x:c>
      <x:c r="E6" s="13" t="n">
        <x:f>D6/C6-1</x:f>
        <x:v>0.027692589371538512</x:v>
      </x:c>
      <x:c r="F6" s="15" t="n">
        <x:f>'공시원자료'!E10</x:f>
        <x:v>76.67</x:v>
      </x:c>
      <x:c r="G6" s="17" t="n">
        <x:f>'공시원자료'!F10</x:f>
        <x:v>154</x:v>
      </x:c>
    </x:row>
    <x:row r="7" ht="25" customHeight="1">
      <x:c r="A7" s="2" t="str">
        <x:v>한국식품안전관리인증원</x:v>
      </x:c>
      <x:c r="B7" s="12" t="n">
        <x:f>SUMIFS('공시원자료'!$D$6:$D$20,'공시원자료'!$A$6:$A$20,A7,'공시원자료'!$B$6:$B$20,2023)</x:f>
        <x:v>55437</x:v>
      </x:c>
      <x:c r="C7" s="12" t="n">
        <x:f>SUMIFS('공시원자료'!$D$6:$D$20,'공시원자료'!$A$6:$A$20,A7,'공시원자료'!$B$6:$B$20,2024)</x:f>
        <x:v>57720</x:v>
      </x:c>
      <x:c r="D7" s="12" t="n">
        <x:f>SUMIFS('공시원자료'!$D$6:$D$20,'공시원자료'!$A$6:$A$20,A7,'공시원자료'!$B$6:$B$20,2025)</x:f>
        <x:v>60554</x:v>
      </x:c>
      <x:c r="E7" s="14" t="n">
        <x:f>D7/C7-1</x:f>
        <x:v>0.04909909909909915</x:v>
      </x:c>
      <x:c r="F7" s="16" t="n">
        <x:f>'공시원자료'!E15</x:f>
        <x:v>235.75</x:v>
      </x:c>
      <x:c r="G7" s="18" t="n">
        <x:f>'공시원자료'!F15</x:f>
        <x:v>118</x:v>
      </x:c>
    </x:row>
    <x:row r="8" ht="25" customHeight="1">
      <x:c r="A8" s="10" t="str">
        <x:v>국립공원공단</x:v>
      </x:c>
      <x:c r="B8" s="11" t="n">
        <x:f>SUMIFS('공시원자료'!$D$6:$D$20,'공시원자료'!$A$6:$A$20,A8,'공시원자료'!$B$6:$B$20,2023)</x:f>
        <x:v>60678</x:v>
      </x:c>
      <x:c r="C8" s="11" t="n">
        <x:f>SUMIFS('공시원자료'!$D$6:$D$20,'공시원자료'!$A$6:$A$20,A8,'공시원자료'!$B$6:$B$20,2024)</x:f>
        <x:v>61473</x:v>
      </x:c>
      <x:c r="D8" s="11" t="n">
        <x:f>SUMIFS('공시원자료'!$D$6:$D$20,'공시원자료'!$A$6:$A$20,A8,'공시원자료'!$B$6:$B$20,2025)</x:f>
        <x:v>62177</x:v>
      </x:c>
      <x:c r="E8" s="13" t="n">
        <x:f>D8/C8-1</x:f>
        <x:v>0.011452182258877786</x:v>
      </x:c>
      <x:c r="F8" s="15" t="n">
        <x:f>'공시원자료'!E20</x:f>
        <x:v>1385.88</x:v>
      </x:c>
      <x:c r="G8" s="17" t="n">
        <x:f>'공시원자료'!F20</x:f>
        <x:v>153</x:v>
      </x:c>
    </x:row>
  </x:sheetData>
  <x:mergeCells>
    <x:mergeCell ref="A3:G3"/>
  </x:mergeCells>
  <x:pageMargins left="0.7" right="0.7" top="0.75" bottom="0.75" header="0.3" footer="0.3"/>
  <x:drawing xmlns:r="http://schemas.openxmlformats.org/officeDocument/2006/relationships" r:id="R963b91e2ab8e48e9"/>
  <x:tableParts count="1">
    <x:tablePart xmlns:r="http://schemas.openxmlformats.org/officeDocument/2006/relationships" r:id="R52c02c7d12c34e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5" hidden="0" customWidth="1"/>
    <x:col min="8" max="8" width="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ALIO 공시 원자료</x:v>
      </x:c>
      <x:c r="B2" s="3"/>
      <x:c r="C2" s="3"/>
      <x:c r="D2" s="3"/>
      <x:c r="E2" s="3"/>
      <x:c r="F2" s="3"/>
      <x:c r="G2" s="3"/>
      <x:c r="H2" s="3"/>
    </x:row>
    <x:row r="3" ht="42" customHeight="1">
      <x:c r="A3" s="5" t="str">
        <x:v>원문값 유지 | 2021~2025 결산 | 일반정규직 첫 번째 표 | 2026 예산 제외</x:v>
      </x:c>
      <x:c r="B3" s="5"/>
      <x:c r="C3" s="5"/>
      <x:c r="D3" s="5"/>
      <x:c r="E3" s="5"/>
      <x:c r="F3" s="5"/>
      <x:c r="G3" s="5"/>
      <x:c r="H3" s="5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9" t="str">
        <x:v>기관</x:v>
      </x:c>
      <x:c r="B5" s="9" t="str">
        <x:v>연도</x:v>
      </x:c>
      <x:c r="C5" s="9" t="str">
        <x:v>모집단</x:v>
      </x:c>
      <x:c r="D5" s="9" t="str">
        <x:v>보수 천원</x:v>
      </x:c>
      <x:c r="E5" s="9" t="str">
        <x:v>종업원수 명</x:v>
      </x:c>
      <x:c r="F5" s="9" t="str">
        <x:v>근속 개월</x:v>
      </x:c>
      <x:c r="G5" s="9" t="str">
        <x:v>출처 URL</x:v>
      </x:c>
      <x:c r="H5" s="9" t="str">
        <x:v>확보일</x:v>
      </x:c>
    </x:row>
    <x:row r="6" ht="25" customHeight="1">
      <x:c r="A6" s="10" t="str">
        <x:v>통일연구원</x:v>
      </x:c>
      <x:c r="B6" s="21" t="n">
        <x:v>2021</x:v>
      </x:c>
      <x:c r="C6" s="10" t="str">
        <x:v>일반정규직</x:v>
      </x:c>
      <x:c r="D6" s="21" t="n">
        <x:v>59873</x:v>
      </x:c>
      <x:c r="E6" s="21" t="n">
        <x:v>77.17</x:v>
      </x:c>
      <x:c r="F6" s="21" t="n">
        <x:v>129</x:v>
      </x:c>
      <x:c r="G6" s="10" t="str">
        <x:v>https://alio.go.kr/upload/disclosure/2026/09/30/2026093003247425/doc.html</x:v>
      </x:c>
      <x:c r="H6" s="10" t="str">
        <x:v>2026-10-11 확보</x:v>
      </x:c>
    </x:row>
    <x:row r="7" ht="25" customHeight="1">
      <x:c r="A7" s="2" t="str">
        <x:v>통일연구원</x:v>
      </x:c>
      <x:c r="B7" s="20" t="n">
        <x:v>2022</x:v>
      </x:c>
      <x:c r="C7" s="2" t="str">
        <x:v>일반정규직</x:v>
      </x:c>
      <x:c r="D7" s="20" t="n">
        <x:v>63589</x:v>
      </x:c>
      <x:c r="E7" s="20" t="n">
        <x:v>75.08</x:v>
      </x:c>
      <x:c r="F7" s="20" t="n">
        <x:v>144</x:v>
      </x:c>
      <x:c r="G7" s="2" t="str">
        <x:v>https://alio.go.kr/upload/disclosure/2026/09/30/2026093003247425/doc.html</x:v>
      </x:c>
      <x:c r="H7" s="2" t="str">
        <x:v>2026-10-11 확보</x:v>
      </x:c>
    </x:row>
    <x:row r="8" ht="25" customHeight="1">
      <x:c r="A8" s="10" t="str">
        <x:v>통일연구원</x:v>
      </x:c>
      <x:c r="B8" s="21" t="n">
        <x:v>2023</x:v>
      </x:c>
      <x:c r="C8" s="10" t="str">
        <x:v>일반정규직</x:v>
      </x:c>
      <x:c r="D8" s="21" t="n">
        <x:v>65320</x:v>
      </x:c>
      <x:c r="E8" s="21" t="n">
        <x:v>74.42</x:v>
      </x:c>
      <x:c r="F8" s="21" t="n">
        <x:v>148</x:v>
      </x:c>
      <x:c r="G8" s="10" t="str">
        <x:v>https://alio.go.kr/upload/disclosure/2026/09/30/2026093003247425/doc.html</x:v>
      </x:c>
      <x:c r="H8" s="10" t="str">
        <x:v>2026-10-11 확보</x:v>
      </x:c>
    </x:row>
    <x:row r="9" ht="25" customHeight="1">
      <x:c r="A9" s="2" t="str">
        <x:v>통일연구원</x:v>
      </x:c>
      <x:c r="B9" s="20" t="n">
        <x:v>2024</x:v>
      </x:c>
      <x:c r="C9" s="2" t="str">
        <x:v>일반정규직</x:v>
      </x:c>
      <x:c r="D9" s="20" t="n">
        <x:v>65541</x:v>
      </x:c>
      <x:c r="E9" s="20" t="n">
        <x:v>75</x:v>
      </x:c>
      <x:c r="F9" s="20" t="n">
        <x:v>141</x:v>
      </x:c>
      <x:c r="G9" s="2" t="str">
        <x:v>https://alio.go.kr/upload/disclosure/2026/09/30/2026093003247425/doc.html</x:v>
      </x:c>
      <x:c r="H9" s="2" t="str">
        <x:v>2026-10-11 확보</x:v>
      </x:c>
    </x:row>
    <x:row r="10" ht="25" customHeight="1">
      <x:c r="A10" s="10" t="str">
        <x:v>통일연구원</x:v>
      </x:c>
      <x:c r="B10" s="21" t="n">
        <x:v>2025</x:v>
      </x:c>
      <x:c r="C10" s="10" t="str">
        <x:v>일반정규직</x:v>
      </x:c>
      <x:c r="D10" s="21" t="n">
        <x:v>67356</x:v>
      </x:c>
      <x:c r="E10" s="21" t="n">
        <x:v>76.67</x:v>
      </x:c>
      <x:c r="F10" s="21" t="n">
        <x:v>154</x:v>
      </x:c>
      <x:c r="G10" s="10" t="str">
        <x:v>https://alio.go.kr/upload/disclosure/2026/09/30/2026093003247425/doc.html</x:v>
      </x:c>
      <x:c r="H10" s="10" t="str">
        <x:v>2026-10-11 확보</x:v>
      </x:c>
    </x:row>
    <x:row r="11" ht="25" customHeight="1">
      <x:c r="A11" s="2" t="str">
        <x:v>한국식품안전관리인증원</x:v>
      </x:c>
      <x:c r="B11" s="20" t="n">
        <x:v>2021</x:v>
      </x:c>
      <x:c r="C11" s="2" t="str">
        <x:v>일반정규직</x:v>
      </x:c>
      <x:c r="D11" s="20" t="n">
        <x:v>55910</x:v>
      </x:c>
      <x:c r="E11" s="20" t="n">
        <x:v>230.38</x:v>
      </x:c>
      <x:c r="F11" s="20" t="n">
        <x:v>83</x:v>
      </x:c>
      <x:c r="G11" s="2" t="str">
        <x:v>https://alio.go.kr/upload/disclosure/2026/04/13/2026041303149169/doc.html</x:v>
      </x:c>
      <x:c r="H11" s="2" t="str">
        <x:v>2026-10-11 확보</x:v>
      </x:c>
    </x:row>
    <x:row r="12" ht="25" customHeight="1">
      <x:c r="A12" s="10" t="str">
        <x:v>한국식품안전관리인증원</x:v>
      </x:c>
      <x:c r="B12" s="21" t="n">
        <x:v>2022</x:v>
      </x:c>
      <x:c r="C12" s="10" t="str">
        <x:v>일반정규직</x:v>
      </x:c>
      <x:c r="D12" s="21" t="n">
        <x:v>56143</x:v>
      </x:c>
      <x:c r="E12" s="21" t="n">
        <x:v>229.79</x:v>
      </x:c>
      <x:c r="F12" s="21" t="n">
        <x:v>88</x:v>
      </x:c>
      <x:c r="G12" s="10" t="str">
        <x:v>https://alio.go.kr/upload/disclosure/2026/04/13/2026041303149169/doc.html</x:v>
      </x:c>
      <x:c r="H12" s="10" t="str">
        <x:v>2026-10-11 확보</x:v>
      </x:c>
    </x:row>
    <x:row r="13" ht="25" customHeight="1">
      <x:c r="A13" s="2" t="str">
        <x:v>한국식품안전관리인증원</x:v>
      </x:c>
      <x:c r="B13" s="20" t="n">
        <x:v>2023</x:v>
      </x:c>
      <x:c r="C13" s="2" t="str">
        <x:v>일반정규직</x:v>
      </x:c>
      <x:c r="D13" s="20" t="n">
        <x:v>55437</x:v>
      </x:c>
      <x:c r="E13" s="20" t="n">
        <x:v>235.38</x:v>
      </x:c>
      <x:c r="F13" s="20" t="n">
        <x:v>100</x:v>
      </x:c>
      <x:c r="G13" s="2" t="str">
        <x:v>https://alio.go.kr/upload/disclosure/2026/04/13/2026041303149169/doc.html</x:v>
      </x:c>
      <x:c r="H13" s="2" t="str">
        <x:v>2026-10-11 확보</x:v>
      </x:c>
    </x:row>
    <x:row r="14" ht="25" customHeight="1">
      <x:c r="A14" s="10" t="str">
        <x:v>한국식품안전관리인증원</x:v>
      </x:c>
      <x:c r="B14" s="21" t="n">
        <x:v>2024</x:v>
      </x:c>
      <x:c r="C14" s="10" t="str">
        <x:v>일반정규직</x:v>
      </x:c>
      <x:c r="D14" s="21" t="n">
        <x:v>57720</x:v>
      </x:c>
      <x:c r="E14" s="21" t="n">
        <x:v>233.88</x:v>
      </x:c>
      <x:c r="F14" s="21" t="n">
        <x:v>109</x:v>
      </x:c>
      <x:c r="G14" s="10" t="str">
        <x:v>https://alio.go.kr/upload/disclosure/2026/04/13/2026041303149169/doc.html</x:v>
      </x:c>
      <x:c r="H14" s="10" t="str">
        <x:v>2026-10-11 확보</x:v>
      </x:c>
    </x:row>
    <x:row r="15" ht="25" customHeight="1">
      <x:c r="A15" s="2" t="str">
        <x:v>한국식품안전관리인증원</x:v>
      </x:c>
      <x:c r="B15" s="20" t="n">
        <x:v>2025</x:v>
      </x:c>
      <x:c r="C15" s="2" t="str">
        <x:v>일반정규직</x:v>
      </x:c>
      <x:c r="D15" s="20" t="n">
        <x:v>60554</x:v>
      </x:c>
      <x:c r="E15" s="20" t="n">
        <x:v>235.75</x:v>
      </x:c>
      <x:c r="F15" s="20" t="n">
        <x:v>118</x:v>
      </x:c>
      <x:c r="G15" s="2" t="str">
        <x:v>https://alio.go.kr/upload/disclosure/2026/04/13/2026041303149169/doc.html</x:v>
      </x:c>
      <x:c r="H15" s="2" t="str">
        <x:v>2026-10-11 확보</x:v>
      </x:c>
    </x:row>
    <x:row r="16" ht="25" customHeight="1">
      <x:c r="A16" s="10" t="str">
        <x:v>국립공원공단</x:v>
      </x:c>
      <x:c r="B16" s="21" t="n">
        <x:v>2021</x:v>
      </x:c>
      <x:c r="C16" s="10" t="str">
        <x:v>일반정규직</x:v>
      </x:c>
      <x:c r="D16" s="21" t="n">
        <x:v>57806</x:v>
      </x:c>
      <x:c r="E16" s="21" t="n">
        <x:v>1310.6</x:v>
      </x:c>
      <x:c r="F16" s="21" t="n">
        <x:v>144</x:v>
      </x:c>
      <x:c r="G16" s="10" t="str">
        <x:v>https://alio.go.kr/upload/disclosure/2026/04/13/2026041303149141/doc.html</x:v>
      </x:c>
      <x:c r="H16" s="10" t="str">
        <x:v>2026-10-11 확보</x:v>
      </x:c>
    </x:row>
    <x:row r="17" ht="25" customHeight="1">
      <x:c r="A17" s="2" t="str">
        <x:v>국립공원공단</x:v>
      </x:c>
      <x:c r="B17" s="20" t="n">
        <x:v>2022</x:v>
      </x:c>
      <x:c r="C17" s="2" t="str">
        <x:v>일반정규직</x:v>
      </x:c>
      <x:c r="D17" s="20" t="n">
        <x:v>58639</x:v>
      </x:c>
      <x:c r="E17" s="20" t="n">
        <x:v>1316.05</x:v>
      </x:c>
      <x:c r="F17" s="20" t="n">
        <x:v>146</x:v>
      </x:c>
      <x:c r="G17" s="2" t="str">
        <x:v>https://alio.go.kr/upload/disclosure/2026/04/13/2026041303149141/doc.html</x:v>
      </x:c>
      <x:c r="H17" s="2" t="str">
        <x:v>2026-10-11 확보</x:v>
      </x:c>
    </x:row>
    <x:row r="18" ht="25" customHeight="1">
      <x:c r="A18" s="10" t="str">
        <x:v>국립공원공단</x:v>
      </x:c>
      <x:c r="B18" s="21" t="n">
        <x:v>2023</x:v>
      </x:c>
      <x:c r="C18" s="10" t="str">
        <x:v>일반정규직</x:v>
      </x:c>
      <x:c r="D18" s="21" t="n">
        <x:v>60678</x:v>
      </x:c>
      <x:c r="E18" s="21" t="n">
        <x:v>1322.59</x:v>
      </x:c>
      <x:c r="F18" s="21" t="n">
        <x:v>148</x:v>
      </x:c>
      <x:c r="G18" s="10" t="str">
        <x:v>https://alio.go.kr/upload/disclosure/2026/04/13/2026041303149141/doc.html</x:v>
      </x:c>
      <x:c r="H18" s="10" t="str">
        <x:v>2026-10-11 확보</x:v>
      </x:c>
    </x:row>
    <x:row r="19" ht="25" customHeight="1">
      <x:c r="A19" s="2" t="str">
        <x:v>국립공원공단</x:v>
      </x:c>
      <x:c r="B19" s="20" t="n">
        <x:v>2024</x:v>
      </x:c>
      <x:c r="C19" s="2" t="str">
        <x:v>일반정규직</x:v>
      </x:c>
      <x:c r="D19" s="20" t="n">
        <x:v>61473</x:v>
      </x:c>
      <x:c r="E19" s="20" t="n">
        <x:v>1399.75</x:v>
      </x:c>
      <x:c r="F19" s="20" t="n">
        <x:v>149</x:v>
      </x:c>
      <x:c r="G19" s="2" t="str">
        <x:v>https://alio.go.kr/upload/disclosure/2026/04/13/2026041303149141/doc.html</x:v>
      </x:c>
      <x:c r="H19" s="2" t="str">
        <x:v>2026-10-11 확보</x:v>
      </x:c>
    </x:row>
    <x:row r="20" ht="25" customHeight="1">
      <x:c r="A20" s="10" t="str">
        <x:v>국립공원공단</x:v>
      </x:c>
      <x:c r="B20" s="21" t="n">
        <x:v>2025</x:v>
      </x:c>
      <x:c r="C20" s="10" t="str">
        <x:v>일반정규직</x:v>
      </x:c>
      <x:c r="D20" s="21" t="n">
        <x:v>62177</x:v>
      </x:c>
      <x:c r="E20" s="21" t="n">
        <x:v>1385.88</x:v>
      </x:c>
      <x:c r="F20" s="21" t="n">
        <x:v>153</x:v>
      </x:c>
      <x:c r="G20" s="10" t="str">
        <x:v>https://alio.go.kr/upload/disclosure/2026/04/13/2026041303149141/doc.html</x:v>
      </x:c>
      <x:c r="H20" s="10" t="str">
        <x:v>2026-10-11 확보</x:v>
      </x:c>
    </x:row>
  </x:sheetData>
  <x:mergeCells>
    <x:mergeCell ref="A3:H3"/>
  </x:mergeCells>
  <x:pageMargins left="0.7" right="0.7" top="0.75" bottom="0.75" header="0.3" footer="0.3"/>
  <x:tableParts count="1">
    <x:tablePart xmlns:r="http://schemas.openxmlformats.org/officeDocument/2006/relationships" r:id="R0fe3df35cb6645c9"/>
  </x:tableParts>
</x:worksheet>
</file>