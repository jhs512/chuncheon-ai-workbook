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58a0375c6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업집계" sheetId="1" r:id="R4898ed1f90474d98"/>
    <x:sheet xmlns:r="http://schemas.openxmlformats.org/officeDocument/2006/relationships" name="월별원자료" sheetId="2" r:id="R236878364706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sz val="11"/>
      <x:color rgb="FF26334B"/>
      <x:name val="Malgun Gothic"/>
    </x:font>
    <x:font>
      <x:b/>
      <x:sz val="16"/>
      <x:color rgb="FF1D2945"/>
      <x:name val="Malgun Gothic"/>
    </x:font>
    <x:font>
      <x:sz val="10"/>
      <x:color rgb="FF765523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85C"/>
      </x:patternFill>
    </x:fill>
    <x:fill>
      <x:patternFill patternType="solid">
        <x:fgColor rgb="FFF1F4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9f1cf17564e17" /><Relationship Type="http://schemas.openxmlformats.org/officeDocument/2006/relationships/theme" Target="/xl/theme/theme1.xml" Id="R99e15d584aef4bad" /><Relationship Type="http://schemas.openxmlformats.org/officeDocument/2006/relationships/sharedStrings" Target="/xl/sharedStrings.xml" Id="Rb3a1451f278f4451" /><Relationship Type="http://schemas.openxmlformats.org/officeDocument/2006/relationships/worksheet" Target="/xl/worksheets/sheet1.xml" Id="R4898ed1f90474d98" /><Relationship Type="http://schemas.openxmlformats.org/officeDocument/2006/relationships/worksheet" Target="/xl/worksheets/sheet2.xml" Id="R2368783647064242" /></Relationships>
</file>

<file path=xl/tables/table1.xml><?xml version="1.0" encoding="utf-8"?>
<x:table xmlns:x="http://schemas.openxmlformats.org/spreadsheetml/2006/main" id="1" name="Kepco_1_0" displayName="Kepco_1_0" ref="A5:K8" headerRowCount="1" totalsRowCount="0" totalsRowShown="0">
  <x:tableColumns count="11">
    <x:tableColumn id="1" name="사업"/>
    <x:tableColumn id="2" name="단위"/>
    <x:tableColumn id="3" name="연예산 원"/>
    <x:tableColumn id="4" name="연집행 원"/>
    <x:tableColumn id="5" name="연계획량"/>
    <x:tableColumn id="6" name="연실적량"/>
    <x:tableColumn id="7" name="설문응답 수"/>
    <x:tableColumn id="8" name="만족응답 수"/>
    <x:tableColumn id="9" name="집행률"/>
    <x:tableColumn id="10" name="달성률"/>
    <x:tableColumn id="11" name="만족응답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pco_1_1" displayName="Kepco_1_1" ref="A5:J41" headerRowCount="1" totalsRowCount="0" totalsRowShown="0">
  <x:tableColumns count="10">
    <x:tableColumn id="1" name="월"/>
    <x:tableColumn id="2" name="사업"/>
    <x:tableColumn id="3" name="단위"/>
    <x:tableColumn id="4" name="월예산 원"/>
    <x:tableColumn id="5" name="월집행 원"/>
    <x:tableColumn id="6" name="계획량"/>
    <x:tableColumn id="7" name="실적량"/>
    <x:tableColumn id="8" name="설문응답 수"/>
    <x:tableColumn id="9" name="만족응답 수"/>
    <x:tableColumn id="10" name="자료구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3cd61b826647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b5badc36b14b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21" hidden="0" customWidth="1"/>
    <x:col min="4" max="4" width="21" hidden="0" customWidth="1"/>
    <x:col min="5" max="5" width="17" hidden="0" customWidth="1"/>
    <x:col min="6" max="6" width="17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2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2025년 사업별 추진실적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40" customHeight="1">
      <x:c r="A3" s="5" t="str">
        <x:v>교육용 가상자료. 건·연인원을 합친 달성률은 계산하지 않는다. 설문은 응답 건수 기준.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0" customHeight="1">
      <x:c r="A5" s="9" t="str">
        <x:v>사업</x:v>
      </x:c>
      <x:c r="B5" s="9" t="str">
        <x:v>단위</x:v>
      </x:c>
      <x:c r="C5" s="9" t="str">
        <x:v>연예산 원</x:v>
      </x:c>
      <x:c r="D5" s="9" t="str">
        <x:v>연집행 원</x:v>
      </x:c>
      <x:c r="E5" s="9" t="str">
        <x:v>연계획량</x:v>
      </x:c>
      <x:c r="F5" s="9" t="str">
        <x:v>연실적량</x:v>
      </x:c>
      <x:c r="G5" s="9" t="str">
        <x:v>설문응답 수</x:v>
      </x:c>
      <x:c r="H5" s="9" t="str">
        <x:v>만족응답 수</x:v>
      </x:c>
      <x:c r="I5" s="9" t="str">
        <x:v>집행률</x:v>
      </x:c>
      <x:c r="J5" s="9" t="str">
        <x:v>달성률</x:v>
      </x:c>
      <x:c r="K5" s="9" t="str">
        <x:v>만족응답률</x:v>
      </x:c>
    </x:row>
    <x:row r="6" ht="28" customHeight="1">
      <x:c r="A6" s="10" t="str">
        <x:v>점검기록 정비</x:v>
      </x:c>
      <x:c r="B6" s="10" t="str">
        <x:v>건</x:v>
      </x:c>
      <x:c r="C6" s="11" t="n">
        <x:f>SUMIFS('월별원자료'!$D$6:$D$41,'월별원자료'!$B$6:$B$41,A6)</x:f>
        <x:v>58200000</x:v>
      </x:c>
      <x:c r="D6" s="11" t="n">
        <x:f>SUMIFS('월별원자료'!$E$6:$E$41,'월별원자료'!$B$6:$B$41,A6)</x:f>
        <x:v>53794000</x:v>
      </x:c>
      <x:c r="E6" s="11" t="n">
        <x:f>SUMIFS('월별원자료'!$F$6:$F$41,'월별원자료'!$B$6:$B$41,A6)</x:f>
        <x:v>1950</x:v>
      </x:c>
      <x:c r="F6" s="11" t="n">
        <x:f>SUMIFS('월별원자료'!$G$6:$G$41,'월별원자료'!$B$6:$B$41,A6)</x:f>
        <x:v>1937</x:v>
      </x:c>
      <x:c r="G6" s="11" t="n">
        <x:f>SUMIFS('월별원자료'!$H$6:$H$41,'월별원자료'!$B$6:$B$41,A6)</x:f>
        <x:v>1354</x:v>
      </x:c>
      <x:c r="H6" s="11" t="n">
        <x:f>SUMIFS('월별원자료'!$I$6:$I$41,'월별원자료'!$B$6:$B$41,A6)</x:f>
        <x:v>1113</x:v>
      </x:c>
      <x:c r="I6" s="13" t="n">
        <x:f>IF(C6=0,"n.a.",D6/C6)</x:f>
        <x:v>0.9242955326460481</x:v>
      </x:c>
      <x:c r="J6" s="13" t="n">
        <x:f>IF(E6=0,"n.a.",F6/E6)</x:f>
        <x:v>0.9933333333333333</x:v>
      </x:c>
      <x:c r="K6" s="13" t="n">
        <x:f>IF(G6=0,"n.a.",H6/G6)</x:f>
        <x:v>0.8220088626292467</x:v>
      </x:c>
    </x:row>
    <x:row r="7" ht="28" customHeight="1">
      <x:c r="A7" s="2" t="str">
        <x:v>계획작업 고객안내</x:v>
      </x:c>
      <x:c r="B7" s="2" t="str">
        <x:v>건</x:v>
      </x:c>
      <x:c r="C7" s="12" t="n">
        <x:f>SUMIFS('월별원자료'!$D$6:$D$41,'월별원자료'!$B$6:$B$41,A7)</x:f>
        <x:v>41400000</x:v>
      </x:c>
      <x:c r="D7" s="12" t="n">
        <x:f>SUMIFS('월별원자료'!$E$6:$E$41,'월별원자료'!$B$6:$B$41,A7)</x:f>
        <x:v>37876000</x:v>
      </x:c>
      <x:c r="E7" s="12" t="n">
        <x:f>SUMIFS('월별원자료'!$F$6:$F$41,'월별원자료'!$B$6:$B$41,A7)</x:f>
        <x:v>1254</x:v>
      </x:c>
      <x:c r="F7" s="12" t="n">
        <x:f>SUMIFS('월별원자료'!$G$6:$G$41,'월별원자료'!$B$6:$B$41,A7)</x:f>
        <x:v>1247</x:v>
      </x:c>
      <x:c r="G7" s="12" t="n">
        <x:f>SUMIFS('월별원자료'!$H$6:$H$41,'월별원자료'!$B$6:$B$41,A7)</x:f>
        <x:v>870</x:v>
      </x:c>
      <x:c r="H7" s="12" t="n">
        <x:f>SUMIFS('월별원자료'!$I$6:$I$41,'월별원자료'!$B$6:$B$41,A7)</x:f>
        <x:v>741</x:v>
      </x:c>
      <x:c r="I7" s="14" t="n">
        <x:f>IF(C7=0,"n.a.",D7/C7)</x:f>
        <x:v>0.9148792270531401</x:v>
      </x:c>
      <x:c r="J7" s="14" t="n">
        <x:f>IF(E7=0,"n.a.",F7/E7)</x:f>
        <x:v>0.9944178628389154</x:v>
      </x:c>
      <x:c r="K7" s="14" t="n">
        <x:f>IF(G7=0,"n.a.",H7/G7)</x:f>
        <x:v>0.8517241379310345</x:v>
      </x:c>
    </x:row>
    <x:row r="8" ht="28" customHeight="1">
      <x:c r="A8" s="10" t="str">
        <x:v>직원 업무교육</x:v>
      </x:c>
      <x:c r="B8" s="10" t="str">
        <x:v>연인원</x:v>
      </x:c>
      <x:c r="C8" s="11" t="n">
        <x:f>SUMIFS('월별원자료'!$D$6:$D$41,'월별원자료'!$B$6:$B$41,A8)</x:f>
        <x:v>30600000</x:v>
      </x:c>
      <x:c r="D8" s="11" t="n">
        <x:f>SUMIFS('월별원자료'!$E$6:$E$41,'월별원자료'!$B$6:$B$41,A8)</x:f>
        <x:v>27590000</x:v>
      </x:c>
      <x:c r="E8" s="11" t="n">
        <x:f>SUMIFS('월별원자료'!$F$6:$F$41,'월별원자료'!$B$6:$B$41,A8)</x:f>
        <x:v>792</x:v>
      </x:c>
      <x:c r="F8" s="11" t="n">
        <x:f>SUMIFS('월별원자료'!$G$6:$G$41,'월별원자료'!$B$6:$B$41,A8)</x:f>
        <x:v>779</x:v>
      </x:c>
      <x:c r="G8" s="11" t="n">
        <x:f>SUMIFS('월별원자료'!$H$6:$H$41,'월별원자료'!$B$6:$B$41,A8)</x:f>
        <x:v>547</x:v>
      </x:c>
      <x:c r="H8" s="11" t="n">
        <x:f>SUMIFS('월별원자료'!$I$6:$I$41,'월별원자료'!$B$6:$B$41,A8)</x:f>
        <x:v>463</x:v>
      </x:c>
      <x:c r="I8" s="13" t="n">
        <x:f>IF(C8=0,"n.a.",D8/C8)</x:f>
        <x:v>0.9016339869281046</x:v>
      </x:c>
      <x:c r="J8" s="13" t="n">
        <x:f>IF(E8=0,"n.a.",F8/E8)</x:f>
        <x:v>0.9835858585858586</x:v>
      </x:c>
      <x:c r="K8" s="13" t="n">
        <x:f>IF(G8=0,"n.a.",H8/G8)</x:f>
        <x:v>0.8464351005484461</x:v>
      </x:c>
    </x:row>
  </x:sheetData>
  <x:mergeCells>
    <x:mergeCell ref="A3:K3"/>
  </x:mergeCells>
  <x:pageMargins left="0.7" right="0.7" top="0.75" bottom="0.75" header="0.3" footer="0.3"/>
  <x:tableParts count="1">
    <x:tablePart xmlns:r="http://schemas.openxmlformats.org/officeDocument/2006/relationships" r:id="Rda3cd61b8266476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3" hidden="0" customWidth="1"/>
    <x:col min="4" max="4" width="21" hidden="0" customWidth="1"/>
    <x:col min="5" max="5" width="21" hidden="0" customWidth="1"/>
    <x:col min="6" max="6" width="17" hidden="0" customWidth="1"/>
    <x:col min="7" max="7" width="17" hidden="0" customWidth="1"/>
    <x:col min="8" max="8" width="19" hidden="0" customWidth="1"/>
    <x:col min="9" max="9" width="19" hidden="0" customWidth="1"/>
    <x:col min="10" max="10" width="23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2025년 월별 사업실적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40" customHeight="1">
      <x:c r="A3" s="5" t="str">
        <x:v>교육용 가상자료. 교육은 회차별 연인원이며 고유 인원 수가 아니다. 만족응답은 설문응답의 일부. 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0" customHeight="1">
      <x:c r="A5" s="9" t="str">
        <x:v>월</x:v>
      </x:c>
      <x:c r="B5" s="9" t="str">
        <x:v>사업</x:v>
      </x:c>
      <x:c r="C5" s="9" t="str">
        <x:v>단위</x:v>
      </x:c>
      <x:c r="D5" s="9" t="str">
        <x:v>월예산 원</x:v>
      </x:c>
      <x:c r="E5" s="9" t="str">
        <x:v>월집행 원</x:v>
      </x:c>
      <x:c r="F5" s="9" t="str">
        <x:v>계획량</x:v>
      </x:c>
      <x:c r="G5" s="9" t="str">
        <x:v>실적량</x:v>
      </x:c>
      <x:c r="H5" s="9" t="str">
        <x:v>설문응답 수</x:v>
      </x:c>
      <x:c r="I5" s="9" t="str">
        <x:v>만족응답 수</x:v>
      </x:c>
      <x:c r="J5" s="9" t="str">
        <x:v>자료구분</x:v>
      </x:c>
    </x:row>
    <x:row r="6" ht="28" customHeight="1">
      <x:c r="A6" s="10" t="str">
        <x:v>2025-01</x:v>
      </x:c>
      <x:c r="B6" s="10" t="str">
        <x:v>점검기록 정비</x:v>
      </x:c>
      <x:c r="C6" s="10" t="str">
        <x:v>건</x:v>
      </x:c>
      <x:c r="D6" s="16" t="n">
        <x:v>4300000</x:v>
      </x:c>
      <x:c r="E6" s="16" t="n">
        <x:v>3610000</x:v>
      </x:c>
      <x:c r="F6" s="16" t="n">
        <x:v>135</x:v>
      </x:c>
      <x:c r="G6" s="16" t="n">
        <x:v>101</x:v>
      </x:c>
      <x:c r="H6" s="16" t="n">
        <x:v>63</x:v>
      </x:c>
      <x:c r="I6" s="16" t="n">
        <x:v>50</x:v>
      </x:c>
      <x:c r="J6" s="10" t="str">
        <x:v>교육용 가상자료</x:v>
      </x:c>
    </x:row>
    <x:row r="7" ht="28" customHeight="1">
      <x:c r="A7" s="2" t="str">
        <x:v>2025-01</x:v>
      </x:c>
      <x:c r="B7" s="2" t="str">
        <x:v>계획작업 고객안내</x:v>
      </x:c>
      <x:c r="C7" s="2" t="str">
        <x:v>건</x:v>
      </x:c>
      <x:c r="D7" s="15" t="n">
        <x:v>2900000</x:v>
      </x:c>
      <x:c r="E7" s="15" t="n">
        <x:v>3012000</x:v>
      </x:c>
      <x:c r="F7" s="15" t="n">
        <x:v>88</x:v>
      </x:c>
      <x:c r="G7" s="15" t="n">
        <x:v>84</x:v>
      </x:c>
      <x:c r="H7" s="15" t="n">
        <x:v>53</x:v>
      </x:c>
      <x:c r="I7" s="15" t="n">
        <x:v>48</x:v>
      </x:c>
      <x:c r="J7" s="2" t="str">
        <x:v>교육용 가상자료</x:v>
      </x:c>
    </x:row>
    <x:row r="8" ht="28" customHeight="1">
      <x:c r="A8" s="10" t="str">
        <x:v>2025-01</x:v>
      </x:c>
      <x:c r="B8" s="10" t="str">
        <x:v>직원 업무교육</x:v>
      </x:c>
      <x:c r="C8" s="10" t="str">
        <x:v>연인원</x:v>
      </x:c>
      <x:c r="D8" s="16" t="n">
        <x:v>2000000</x:v>
      </x:c>
      <x:c r="E8" s="16" t="n">
        <x:v>1761000</x:v>
      </x:c>
      <x:c r="F8" s="16" t="n">
        <x:v>44</x:v>
      </x:c>
      <x:c r="G8" s="16" t="n">
        <x:v>40</x:v>
      </x:c>
      <x:c r="H8" s="16" t="n">
        <x:v>23</x:v>
      </x:c>
      <x:c r="I8" s="16" t="n">
        <x:v>18</x:v>
      </x:c>
      <x:c r="J8" s="10" t="str">
        <x:v>교육용 가상자료</x:v>
      </x:c>
    </x:row>
    <x:row r="9" ht="28" customHeight="1">
      <x:c r="A9" s="2" t="str">
        <x:v>2025-02</x:v>
      </x:c>
      <x:c r="B9" s="2" t="str">
        <x:v>점검기록 정비</x:v>
      </x:c>
      <x:c r="C9" s="2" t="str">
        <x:v>건</x:v>
      </x:c>
      <x:c r="D9" s="15" t="n">
        <x:v>4400000</x:v>
      </x:c>
      <x:c r="E9" s="15" t="n">
        <x:v>3963000</x:v>
      </x:c>
      <x:c r="F9" s="15" t="n">
        <x:v>140</x:v>
      </x:c>
      <x:c r="G9" s="15" t="n">
        <x:v>118</x:v>
      </x:c>
      <x:c r="H9" s="15" t="n">
        <x:v>99</x:v>
      </x:c>
      <x:c r="I9" s="15" t="n">
        <x:v>88</x:v>
      </x:c>
      <x:c r="J9" s="2" t="str">
        <x:v>교육용 가상자료</x:v>
      </x:c>
    </x:row>
    <x:row r="10" ht="28" customHeight="1">
      <x:c r="A10" s="10" t="str">
        <x:v>2025-02</x:v>
      </x:c>
      <x:c r="B10" s="10" t="str">
        <x:v>계획작업 고객안내</x:v>
      </x:c>
      <x:c r="C10" s="10" t="str">
        <x:v>건</x:v>
      </x:c>
      <x:c r="D10" s="16" t="n">
        <x:v>3000000</x:v>
      </x:c>
      <x:c r="E10" s="16" t="n">
        <x:v>2893000</x:v>
      </x:c>
      <x:c r="F10" s="16" t="n">
        <x:v>91</x:v>
      </x:c>
      <x:c r="G10" s="16" t="n">
        <x:v>99</x:v>
      </x:c>
      <x:c r="H10" s="16" t="n">
        <x:v>63</x:v>
      </x:c>
      <x:c r="I10" s="16" t="n">
        <x:v>52</x:v>
      </x:c>
      <x:c r="J10" s="10" t="str">
        <x:v>교육용 가상자료</x:v>
      </x:c>
    </x:row>
    <x:row r="11" ht="28" customHeight="1">
      <x:c r="A11" s="2" t="str">
        <x:v>2025-02</x:v>
      </x:c>
      <x:c r="B11" s="2" t="str">
        <x:v>직원 업무교육</x:v>
      </x:c>
      <x:c r="C11" s="2" t="str">
        <x:v>연인원</x:v>
      </x:c>
      <x:c r="D11" s="15" t="n">
        <x:v>2100000</x:v>
      </x:c>
      <x:c r="E11" s="15" t="n">
        <x:v>2060000</x:v>
      </x:c>
      <x:c r="F11" s="15" t="n">
        <x:v>48</x:v>
      </x:c>
      <x:c r="G11" s="15" t="n">
        <x:v>52</x:v>
      </x:c>
      <x:c r="H11" s="15" t="n">
        <x:v>32</x:v>
      </x:c>
      <x:c r="I11" s="15" t="n">
        <x:v>29</x:v>
      </x:c>
      <x:c r="J11" s="2" t="str">
        <x:v>교육용 가상자료</x:v>
      </x:c>
    </x:row>
    <x:row r="12" ht="28" customHeight="1">
      <x:c r="A12" s="10" t="str">
        <x:v>2025-03</x:v>
      </x:c>
      <x:c r="B12" s="10" t="str">
        <x:v>점검기록 정비</x:v>
      </x:c>
      <x:c r="C12" s="10" t="str">
        <x:v>건</x:v>
      </x:c>
      <x:c r="D12" s="16" t="n">
        <x:v>4500000</x:v>
      </x:c>
      <x:c r="E12" s="16" t="n">
        <x:v>4480000</x:v>
      </x:c>
      <x:c r="F12" s="16" t="n">
        <x:v>145</x:v>
      </x:c>
      <x:c r="G12" s="16" t="n">
        <x:v>129</x:v>
      </x:c>
      <x:c r="H12" s="16" t="n">
        <x:v>73</x:v>
      </x:c>
      <x:c r="I12" s="16" t="n">
        <x:v>58</x:v>
      </x:c>
      <x:c r="J12" s="10" t="str">
        <x:v>교육용 가상자료</x:v>
      </x:c>
    </x:row>
    <x:row r="13" ht="28" customHeight="1">
      <x:c r="A13" s="2" t="str">
        <x:v>2025-03</x:v>
      </x:c>
      <x:c r="B13" s="2" t="str">
        <x:v>계획작업 고객안내</x:v>
      </x:c>
      <x:c r="C13" s="2" t="str">
        <x:v>건</x:v>
      </x:c>
      <x:c r="D13" s="15" t="n">
        <x:v>3100000</x:v>
      </x:c>
      <x:c r="E13" s="15" t="n">
        <x:v>3137000</x:v>
      </x:c>
      <x:c r="F13" s="15" t="n">
        <x:v>94</x:v>
      </x:c>
      <x:c r="G13" s="15" t="n">
        <x:v>104</x:v>
      </x:c>
      <x:c r="H13" s="15" t="n">
        <x:v>61</x:v>
      </x:c>
      <x:c r="I13" s="15" t="n">
        <x:v>52</x:v>
      </x:c>
      <x:c r="J13" s="2" t="str">
        <x:v>교육용 가상자료</x:v>
      </x:c>
    </x:row>
    <x:row r="14" ht="28" customHeight="1">
      <x:c r="A14" s="10" t="str">
        <x:v>2025-03</x:v>
      </x:c>
      <x:c r="B14" s="10" t="str">
        <x:v>직원 업무교육</x:v>
      </x:c>
      <x:c r="C14" s="10" t="str">
        <x:v>연인원</x:v>
      </x:c>
      <x:c r="D14" s="16" t="n">
        <x:v>2200000</x:v>
      </x:c>
      <x:c r="E14" s="16" t="n">
        <x:v>1843000</x:v>
      </x:c>
      <x:c r="F14" s="16" t="n">
        <x:v>52</x:v>
      </x:c>
      <x:c r="G14" s="16" t="n">
        <x:v>51</x:v>
      </x:c>
      <x:c r="H14" s="16" t="n">
        <x:v>34</x:v>
      </x:c>
      <x:c r="I14" s="16" t="n">
        <x:v>28</x:v>
      </x:c>
      <x:c r="J14" s="10" t="str">
        <x:v>교육용 가상자료</x:v>
      </x:c>
    </x:row>
    <x:row r="15" ht="28" customHeight="1">
      <x:c r="A15" s="2" t="str">
        <x:v>2025-04</x:v>
      </x:c>
      <x:c r="B15" s="2" t="str">
        <x:v>점검기록 정비</x:v>
      </x:c>
      <x:c r="C15" s="2" t="str">
        <x:v>건</x:v>
      </x:c>
      <x:c r="D15" s="15" t="n">
        <x:v>4600000</x:v>
      </x:c>
      <x:c r="E15" s="15" t="n">
        <x:v>4590000</x:v>
      </x:c>
      <x:c r="F15" s="15" t="n">
        <x:v>150</x:v>
      </x:c>
      <x:c r="G15" s="15" t="n">
        <x:v>141</x:v>
      </x:c>
      <x:c r="H15" s="15" t="n">
        <x:v>82</x:v>
      </x:c>
      <x:c r="I15" s="15" t="n">
        <x:v>67</x:v>
      </x:c>
      <x:c r="J15" s="2" t="str">
        <x:v>교육용 가상자료</x:v>
      </x:c>
    </x:row>
    <x:row r="16" ht="28" customHeight="1">
      <x:c r="A16" s="10" t="str">
        <x:v>2025-04</x:v>
      </x:c>
      <x:c r="B16" s="10" t="str">
        <x:v>계획작업 고객안내</x:v>
      </x:c>
      <x:c r="C16" s="10" t="str">
        <x:v>건</x:v>
      </x:c>
      <x:c r="D16" s="16" t="n">
        <x:v>3200000</x:v>
      </x:c>
      <x:c r="E16" s="16" t="n">
        <x:v>3054000</x:v>
      </x:c>
      <x:c r="F16" s="16" t="n">
        <x:v>97</x:v>
      </x:c>
      <x:c r="G16" s="16" t="n">
        <x:v>88</x:v>
      </x:c>
      <x:c r="H16" s="16" t="n">
        <x:v>61</x:v>
      </x:c>
      <x:c r="I16" s="16" t="n">
        <x:v>53</x:v>
      </x:c>
      <x:c r="J16" s="10" t="str">
        <x:v>교육용 가상자료</x:v>
      </x:c>
    </x:row>
    <x:row r="17" ht="28" customHeight="1">
      <x:c r="A17" s="2" t="str">
        <x:v>2025-04</x:v>
      </x:c>
      <x:c r="B17" s="2" t="str">
        <x:v>직원 업무교육</x:v>
      </x:c>
      <x:c r="C17" s="2" t="str">
        <x:v>연인원</x:v>
      </x:c>
      <x:c r="D17" s="15" t="n">
        <x:v>2300000</x:v>
      </x:c>
      <x:c r="E17" s="15" t="n">
        <x:v>1954000</x:v>
      </x:c>
      <x:c r="F17" s="15" t="n">
        <x:v>56</x:v>
      </x:c>
      <x:c r="G17" s="15" t="n">
        <x:v>59</x:v>
      </x:c>
      <x:c r="H17" s="15" t="n">
        <x:v>38</x:v>
      </x:c>
      <x:c r="I17" s="15" t="n">
        <x:v>31</x:v>
      </x:c>
      <x:c r="J17" s="2" t="str">
        <x:v>교육용 가상자료</x:v>
      </x:c>
    </x:row>
    <x:row r="18" ht="28" customHeight="1">
      <x:c r="A18" s="10" t="str">
        <x:v>2025-05</x:v>
      </x:c>
      <x:c r="B18" s="10" t="str">
        <x:v>점검기록 정비</x:v>
      </x:c>
      <x:c r="C18" s="10" t="str">
        <x:v>건</x:v>
      </x:c>
      <x:c r="D18" s="16" t="n">
        <x:v>4700000</x:v>
      </x:c>
      <x:c r="E18" s="16" t="n">
        <x:v>4229000</x:v>
      </x:c>
      <x:c r="F18" s="16" t="n">
        <x:v>155</x:v>
      </x:c>
      <x:c r="G18" s="16" t="n">
        <x:v>149</x:v>
      </x:c>
      <x:c r="H18" s="16" t="n">
        <x:v>105</x:v>
      </x:c>
      <x:c r="I18" s="16" t="n">
        <x:v>80</x:v>
      </x:c>
      <x:c r="J18" s="10" t="str">
        <x:v>교육용 가상자료</x:v>
      </x:c>
    </x:row>
    <x:row r="19" ht="28" customHeight="1">
      <x:c r="A19" s="2" t="str">
        <x:v>2025-05</x:v>
      </x:c>
      <x:c r="B19" s="2" t="str">
        <x:v>계획작업 고객안내</x:v>
      </x:c>
      <x:c r="C19" s="2" t="str">
        <x:v>건</x:v>
      </x:c>
      <x:c r="D19" s="15" t="n">
        <x:v>3300000</x:v>
      </x:c>
      <x:c r="E19" s="15" t="n">
        <x:v>3129000</x:v>
      </x:c>
      <x:c r="F19" s="15" t="n">
        <x:v>100</x:v>
      </x:c>
      <x:c r="G19" s="15" t="n">
        <x:v>93</x:v>
      </x:c>
      <x:c r="H19" s="15" t="n">
        <x:v>71</x:v>
      </x:c>
      <x:c r="I19" s="15" t="n">
        <x:v>62</x:v>
      </x:c>
      <x:c r="J19" s="2" t="str">
        <x:v>교육용 가상자료</x:v>
      </x:c>
    </x:row>
    <x:row r="20" ht="28" customHeight="1">
      <x:c r="A20" s="10" t="str">
        <x:v>2025-05</x:v>
      </x:c>
      <x:c r="B20" s="10" t="str">
        <x:v>직원 업무교육</x:v>
      </x:c>
      <x:c r="C20" s="10" t="str">
        <x:v>연인원</x:v>
      </x:c>
      <x:c r="D20" s="16" t="n">
        <x:v>2400000</x:v>
      </x:c>
      <x:c r="E20" s="16" t="n">
        <x:v>2039000</x:v>
      </x:c>
      <x:c r="F20" s="16" t="n">
        <x:v>60</x:v>
      </x:c>
      <x:c r="G20" s="16" t="n">
        <x:v>55</x:v>
      </x:c>
      <x:c r="H20" s="16" t="n">
        <x:v>45</x:v>
      </x:c>
      <x:c r="I20" s="16" t="n">
        <x:v>39</x:v>
      </x:c>
      <x:c r="J20" s="10" t="str">
        <x:v>교육용 가상자료</x:v>
      </x:c>
    </x:row>
    <x:row r="21" ht="28" customHeight="1">
      <x:c r="A21" s="2" t="str">
        <x:v>2025-06</x:v>
      </x:c>
      <x:c r="B21" s="2" t="str">
        <x:v>점검기록 정비</x:v>
      </x:c>
      <x:c r="C21" s="2" t="str">
        <x:v>건</x:v>
      </x:c>
      <x:c r="D21" s="15" t="n">
        <x:v>4800000</x:v>
      </x:c>
      <x:c r="E21" s="15" t="n">
        <x:v>4937000</x:v>
      </x:c>
      <x:c r="F21" s="15" t="n">
        <x:v>160</x:v>
      </x:c>
      <x:c r="G21" s="15" t="n">
        <x:v>160</x:v>
      </x:c>
      <x:c r="H21" s="15" t="n">
        <x:v>132</x:v>
      </x:c>
      <x:c r="I21" s="15" t="n">
        <x:v>125</x:v>
      </x:c>
      <x:c r="J21" s="2" t="str">
        <x:v>교육용 가상자료</x:v>
      </x:c>
    </x:row>
    <x:row r="22" ht="28" customHeight="1">
      <x:c r="A22" s="10" t="str">
        <x:v>2025-06</x:v>
      </x:c>
      <x:c r="B22" s="10" t="str">
        <x:v>계획작업 고객안내</x:v>
      </x:c>
      <x:c r="C22" s="10" t="str">
        <x:v>건</x:v>
      </x:c>
      <x:c r="D22" s="16" t="n">
        <x:v>3400000</x:v>
      </x:c>
      <x:c r="E22" s="16" t="n">
        <x:v>3381000</x:v>
      </x:c>
      <x:c r="F22" s="16" t="n">
        <x:v>103</x:v>
      </x:c>
      <x:c r="G22" s="16" t="n">
        <x:v>96</x:v>
      </x:c>
      <x:c r="H22" s="16" t="n">
        <x:v>81</x:v>
      </x:c>
      <x:c r="I22" s="16" t="n">
        <x:v>73</x:v>
      </x:c>
      <x:c r="J22" s="10" t="str">
        <x:v>교육용 가상자료</x:v>
      </x:c>
    </x:row>
    <x:row r="23" ht="28" customHeight="1">
      <x:c r="A23" s="2" t="str">
        <x:v>2025-06</x:v>
      </x:c>
      <x:c r="B23" s="2" t="str">
        <x:v>직원 업무교육</x:v>
      </x:c>
      <x:c r="C23" s="2" t="str">
        <x:v>연인원</x:v>
      </x:c>
      <x:c r="D23" s="15" t="n">
        <x:v>2500000</x:v>
      </x:c>
      <x:c r="E23" s="15" t="n">
        <x:v>1980000</x:v>
      </x:c>
      <x:c r="F23" s="15" t="n">
        <x:v>64</x:v>
      </x:c>
      <x:c r="G23" s="15" t="n">
        <x:v>65</x:v>
      </x:c>
      <x:c r="H23" s="15" t="n">
        <x:v>37</x:v>
      </x:c>
      <x:c r="I23" s="15" t="n">
        <x:v>29</x:v>
      </x:c>
      <x:c r="J23" s="2" t="str">
        <x:v>교육용 가상자료</x:v>
      </x:c>
    </x:row>
    <x:row r="24" ht="28" customHeight="1">
      <x:c r="A24" s="10" t="str">
        <x:v>2025-07</x:v>
      </x:c>
      <x:c r="B24" s="10" t="str">
        <x:v>점검기록 정비</x:v>
      </x:c>
      <x:c r="C24" s="10" t="str">
        <x:v>건</x:v>
      </x:c>
      <x:c r="D24" s="16" t="n">
        <x:v>4900000</x:v>
      </x:c>
      <x:c r="E24" s="16" t="n">
        <x:v>4154000</x:v>
      </x:c>
      <x:c r="F24" s="16" t="n">
        <x:v>165</x:v>
      </x:c>
      <x:c r="G24" s="16" t="n">
        <x:v>170</x:v>
      </x:c>
      <x:c r="H24" s="16" t="n">
        <x:v>113</x:v>
      </x:c>
      <x:c r="I24" s="16" t="n">
        <x:v>101</x:v>
      </x:c>
      <x:c r="J24" s="10" t="str">
        <x:v>교육용 가상자료</x:v>
      </x:c>
    </x:row>
    <x:row r="25" ht="28" customHeight="1">
      <x:c r="A25" s="2" t="str">
        <x:v>2025-07</x:v>
      </x:c>
      <x:c r="B25" s="2" t="str">
        <x:v>계획작업 고객안내</x:v>
      </x:c>
      <x:c r="C25" s="2" t="str">
        <x:v>건</x:v>
      </x:c>
      <x:c r="D25" s="15" t="n">
        <x:v>3500000</x:v>
      </x:c>
      <x:c r="E25" s="15" t="n">
        <x:v>2785000</x:v>
      </x:c>
      <x:c r="F25" s="15" t="n">
        <x:v>106</x:v>
      </x:c>
      <x:c r="G25" s="15" t="n">
        <x:v>110</x:v>
      </x:c>
      <x:c r="H25" s="15" t="n">
        <x:v>79</x:v>
      </x:c>
      <x:c r="I25" s="15" t="n">
        <x:v>73</x:v>
      </x:c>
      <x:c r="J25" s="2" t="str">
        <x:v>교육용 가상자료</x:v>
      </x:c>
    </x:row>
    <x:row r="26" ht="28" customHeight="1">
      <x:c r="A26" s="10" t="str">
        <x:v>2025-07</x:v>
      </x:c>
      <x:c r="B26" s="10" t="str">
        <x:v>직원 업무교육</x:v>
      </x:c>
      <x:c r="C26" s="10" t="str">
        <x:v>연인원</x:v>
      </x:c>
      <x:c r="D26" s="16" t="n">
        <x:v>2600000</x:v>
      </x:c>
      <x:c r="E26" s="16" t="n">
        <x:v>2289000</x:v>
      </x:c>
      <x:c r="F26" s="16" t="n">
        <x:v>68</x:v>
      </x:c>
      <x:c r="G26" s="16" t="n">
        <x:v>71</x:v>
      </x:c>
      <x:c r="H26" s="16" t="n">
        <x:v>61</x:v>
      </x:c>
      <x:c r="I26" s="16" t="n">
        <x:v>50</x:v>
      </x:c>
      <x:c r="J26" s="10" t="str">
        <x:v>교육용 가상자료</x:v>
      </x:c>
    </x:row>
    <x:row r="27" ht="28" customHeight="1">
      <x:c r="A27" s="2" t="str">
        <x:v>2025-08</x:v>
      </x:c>
      <x:c r="B27" s="2" t="str">
        <x:v>점검기록 정비</x:v>
      </x:c>
      <x:c r="C27" s="2" t="str">
        <x:v>건</x:v>
      </x:c>
      <x:c r="D27" s="15" t="n">
        <x:v>5000000</x:v>
      </x:c>
      <x:c r="E27" s="15" t="n">
        <x:v>4470000</x:v>
      </x:c>
      <x:c r="F27" s="15" t="n">
        <x:v>170</x:v>
      </x:c>
      <x:c r="G27" s="15" t="n">
        <x:v>180</x:v>
      </x:c>
      <x:c r="H27" s="15" t="n">
        <x:v>143</x:v>
      </x:c>
      <x:c r="I27" s="15" t="n">
        <x:v>113</x:v>
      </x:c>
      <x:c r="J27" s="2" t="str">
        <x:v>교육용 가상자료</x:v>
      </x:c>
    </x:row>
    <x:row r="28" ht="28" customHeight="1">
      <x:c r="A28" s="10" t="str">
        <x:v>2025-08</x:v>
      </x:c>
      <x:c r="B28" s="10" t="str">
        <x:v>계획작업 고객안내</x:v>
      </x:c>
      <x:c r="C28" s="10" t="str">
        <x:v>건</x:v>
      </x:c>
      <x:c r="D28" s="16" t="n">
        <x:v>3600000</x:v>
      </x:c>
      <x:c r="E28" s="16" t="n">
        <x:v>3423000</x:v>
      </x:c>
      <x:c r="F28" s="16" t="n">
        <x:v>109</x:v>
      </x:c>
      <x:c r="G28" s="16" t="n">
        <x:v>116</x:v>
      </x:c>
      <x:c r="H28" s="16" t="n">
        <x:v>72</x:v>
      </x:c>
      <x:c r="I28" s="16" t="n">
        <x:v>56</x:v>
      </x:c>
      <x:c r="J28" s="10" t="str">
        <x:v>교육용 가상자료</x:v>
      </x:c>
    </x:row>
    <x:row r="29" ht="28" customHeight="1">
      <x:c r="A29" s="2" t="str">
        <x:v>2025-08</x:v>
      </x:c>
      <x:c r="B29" s="2" t="str">
        <x:v>직원 업무교육</x:v>
      </x:c>
      <x:c r="C29" s="2" t="str">
        <x:v>연인원</x:v>
      </x:c>
      <x:c r="D29" s="15" t="n">
        <x:v>2700000</x:v>
      </x:c>
      <x:c r="E29" s="15" t="n">
        <x:v>2562000</x:v>
      </x:c>
      <x:c r="F29" s="15" t="n">
        <x:v>72</x:v>
      </x:c>
      <x:c r="G29" s="15" t="n">
        <x:v>71</x:v>
      </x:c>
      <x:c r="H29" s="15" t="n">
        <x:v>50</x:v>
      </x:c>
      <x:c r="I29" s="15" t="n">
        <x:v>40</x:v>
      </x:c>
      <x:c r="J29" s="2" t="str">
        <x:v>교육용 가상자료</x:v>
      </x:c>
    </x:row>
    <x:row r="30" ht="28" customHeight="1">
      <x:c r="A30" s="10" t="str">
        <x:v>2025-09</x:v>
      </x:c>
      <x:c r="B30" s="10" t="str">
        <x:v>점검기록 정비</x:v>
      </x:c>
      <x:c r="C30" s="10" t="str">
        <x:v>건</x:v>
      </x:c>
      <x:c r="D30" s="16" t="n">
        <x:v>5100000</x:v>
      </x:c>
      <x:c r="E30" s="16" t="n">
        <x:v>4806000</x:v>
      </x:c>
      <x:c r="F30" s="16" t="n">
        <x:v>175</x:v>
      </x:c>
      <x:c r="G30" s="16" t="n">
        <x:v>184</x:v>
      </x:c>
      <x:c r="H30" s="16" t="n">
        <x:v>139</x:v>
      </x:c>
      <x:c r="I30" s="16" t="n">
        <x:v>108</x:v>
      </x:c>
      <x:c r="J30" s="10" t="str">
        <x:v>교육용 가상자료</x:v>
      </x:c>
    </x:row>
    <x:row r="31" ht="28" customHeight="1">
      <x:c r="A31" s="2" t="str">
        <x:v>2025-09</x:v>
      </x:c>
      <x:c r="B31" s="2" t="str">
        <x:v>계획작업 고객안내</x:v>
      </x:c>
      <x:c r="C31" s="2" t="str">
        <x:v>건</x:v>
      </x:c>
      <x:c r="D31" s="15" t="n">
        <x:v>3700000</x:v>
      </x:c>
      <x:c r="E31" s="15" t="n">
        <x:v>3286000</x:v>
      </x:c>
      <x:c r="F31" s="15" t="n">
        <x:v>112</x:v>
      </x:c>
      <x:c r="G31" s="15" t="n">
        <x:v>107</x:v>
      </x:c>
      <x:c r="H31" s="15" t="n">
        <x:v>83</x:v>
      </x:c>
      <x:c r="I31" s="15" t="n">
        <x:v>64</x:v>
      </x:c>
      <x:c r="J31" s="2" t="str">
        <x:v>교육용 가상자료</x:v>
      </x:c>
    </x:row>
    <x:row r="32" ht="28" customHeight="1">
      <x:c r="A32" s="10" t="str">
        <x:v>2025-09</x:v>
      </x:c>
      <x:c r="B32" s="10" t="str">
        <x:v>직원 업무교육</x:v>
      </x:c>
      <x:c r="C32" s="10" t="str">
        <x:v>연인원</x:v>
      </x:c>
      <x:c r="D32" s="16" t="n">
        <x:v>2800000</x:v>
      </x:c>
      <x:c r="E32" s="16" t="n">
        <x:v>2340000</x:v>
      </x:c>
      <x:c r="F32" s="16" t="n">
        <x:v>76</x:v>
      </x:c>
      <x:c r="G32" s="16" t="n">
        <x:v>70</x:v>
      </x:c>
      <x:c r="H32" s="16" t="n">
        <x:v>43</x:v>
      </x:c>
      <x:c r="I32" s="16" t="n">
        <x:v>35</x:v>
      </x:c>
      <x:c r="J32" s="10" t="str">
        <x:v>교육용 가상자료</x:v>
      </x:c>
    </x:row>
    <x:row r="33" ht="28" customHeight="1">
      <x:c r="A33" s="2" t="str">
        <x:v>2025-10</x:v>
      </x:c>
      <x:c r="B33" s="2" t="str">
        <x:v>점검기록 정비</x:v>
      </x:c>
      <x:c r="C33" s="2" t="str">
        <x:v>건</x:v>
      </x:c>
      <x:c r="D33" s="15" t="n">
        <x:v>5200000</x:v>
      </x:c>
      <x:c r="E33" s="15" t="n">
        <x:v>4602000</x:v>
      </x:c>
      <x:c r="F33" s="15" t="n">
        <x:v>180</x:v>
      </x:c>
      <x:c r="G33" s="15" t="n">
        <x:v>196</x:v>
      </x:c>
      <x:c r="H33" s="15" t="n">
        <x:v>111</x:v>
      </x:c>
      <x:c r="I33" s="15" t="n">
        <x:v>93</x:v>
      </x:c>
      <x:c r="J33" s="2" t="str">
        <x:v>교육용 가상자료</x:v>
      </x:c>
    </x:row>
    <x:row r="34" ht="28" customHeight="1">
      <x:c r="A34" s="10" t="str">
        <x:v>2025-10</x:v>
      </x:c>
      <x:c r="B34" s="10" t="str">
        <x:v>계획작업 고객안내</x:v>
      </x:c>
      <x:c r="C34" s="10" t="str">
        <x:v>건</x:v>
      </x:c>
      <x:c r="D34" s="16" t="n">
        <x:v>3800000</x:v>
      </x:c>
      <x:c r="E34" s="16" t="n">
        <x:v>2986000</x:v>
      </x:c>
      <x:c r="F34" s="16" t="n">
        <x:v>115</x:v>
      </x:c>
      <x:c r="G34" s="16" t="n">
        <x:v>109</x:v>
      </x:c>
      <x:c r="H34" s="16" t="n">
        <x:v>78</x:v>
      </x:c>
      <x:c r="I34" s="16" t="n">
        <x:v>74</x:v>
      </x:c>
      <x:c r="J34" s="10" t="str">
        <x:v>교육용 가상자료</x:v>
      </x:c>
    </x:row>
    <x:row r="35" ht="28" customHeight="1">
      <x:c r="A35" s="2" t="str">
        <x:v>2025-10</x:v>
      </x:c>
      <x:c r="B35" s="2" t="str">
        <x:v>직원 업무교육</x:v>
      </x:c>
      <x:c r="C35" s="2" t="str">
        <x:v>연인원</x:v>
      </x:c>
      <x:c r="D35" s="15" t="n">
        <x:v>2900000</x:v>
      </x:c>
      <x:c r="E35" s="15" t="n">
        <x:v>2976000</x:v>
      </x:c>
      <x:c r="F35" s="15" t="n">
        <x:v>80</x:v>
      </x:c>
      <x:c r="G35" s="15" t="n">
        <x:v>77</x:v>
      </x:c>
      <x:c r="H35" s="15" t="n">
        <x:v>59</x:v>
      </x:c>
      <x:c r="I35" s="15" t="n">
        <x:v>47</x:v>
      </x:c>
      <x:c r="J35" s="2" t="str">
        <x:v>교육용 가상자료</x:v>
      </x:c>
    </x:row>
    <x:row r="36" ht="28" customHeight="1">
      <x:c r="A36" s="10" t="str">
        <x:v>2025-11</x:v>
      </x:c>
      <x:c r="B36" s="10" t="str">
        <x:v>점검기록 정비</x:v>
      </x:c>
      <x:c r="C36" s="10" t="str">
        <x:v>건</x:v>
      </x:c>
      <x:c r="D36" s="16" t="n">
        <x:v>5300000</x:v>
      </x:c>
      <x:c r="E36" s="16" t="n">
        <x:v>5165000</x:v>
      </x:c>
      <x:c r="F36" s="16" t="n">
        <x:v>185</x:v>
      </x:c>
      <x:c r="G36" s="16" t="n">
        <x:v>204</x:v>
      </x:c>
      <x:c r="H36" s="16" t="n">
        <x:v>120</x:v>
      </x:c>
      <x:c r="I36" s="16" t="n">
        <x:v>93</x:v>
      </x:c>
      <x:c r="J36" s="10" t="str">
        <x:v>교육용 가상자료</x:v>
      </x:c>
    </x:row>
    <x:row r="37" ht="28" customHeight="1">
      <x:c r="A37" s="2" t="str">
        <x:v>2025-11</x:v>
      </x:c>
      <x:c r="B37" s="2" t="str">
        <x:v>계획작업 고객안내</x:v>
      </x:c>
      <x:c r="C37" s="2" t="str">
        <x:v>건</x:v>
      </x:c>
      <x:c r="D37" s="15" t="n">
        <x:v>3900000</x:v>
      </x:c>
      <x:c r="E37" s="15" t="n">
        <x:v>3209000</x:v>
      </x:c>
      <x:c r="F37" s="15" t="n">
        <x:v>118</x:v>
      </x:c>
      <x:c r="G37" s="15" t="n">
        <x:v>130</x:v>
      </x:c>
      <x:c r="H37" s="15" t="n">
        <x:v>80</x:v>
      </x:c>
      <x:c r="I37" s="15" t="n">
        <x:v>63</x:v>
      </x:c>
      <x:c r="J37" s="2" t="str">
        <x:v>교육용 가상자료</x:v>
      </x:c>
    </x:row>
    <x:row r="38" ht="28" customHeight="1">
      <x:c r="A38" s="10" t="str">
        <x:v>2025-11</x:v>
      </x:c>
      <x:c r="B38" s="10" t="str">
        <x:v>직원 업무교육</x:v>
      </x:c>
      <x:c r="C38" s="10" t="str">
        <x:v>연인원</x:v>
      </x:c>
      <x:c r="D38" s="16" t="n">
        <x:v>3000000</x:v>
      </x:c>
      <x:c r="E38" s="16" t="n">
        <x:v>3094000</x:v>
      </x:c>
      <x:c r="F38" s="16" t="n">
        <x:v>84</x:v>
      </x:c>
      <x:c r="G38" s="16" t="n">
        <x:v>74</x:v>
      </x:c>
      <x:c r="H38" s="16" t="n">
        <x:v>58</x:v>
      </x:c>
      <x:c r="I38" s="16" t="n">
        <x:v>55</x:v>
      </x:c>
      <x:c r="J38" s="10" t="str">
        <x:v>교육용 가상자료</x:v>
      </x:c>
    </x:row>
    <x:row r="39" ht="28" customHeight="1">
      <x:c r="A39" s="2" t="str">
        <x:v>2025-12</x:v>
      </x:c>
      <x:c r="B39" s="2" t="str">
        <x:v>점검기록 정비</x:v>
      </x:c>
      <x:c r="C39" s="2" t="str">
        <x:v>건</x:v>
      </x:c>
      <x:c r="D39" s="15" t="n">
        <x:v>5400000</x:v>
      </x:c>
      <x:c r="E39" s="15" t="n">
        <x:v>4788000</x:v>
      </x:c>
      <x:c r="F39" s="15" t="n">
        <x:v>190</x:v>
      </x:c>
      <x:c r="G39" s="15" t="n">
        <x:v>205</x:v>
      </x:c>
      <x:c r="H39" s="15" t="n">
        <x:v>174</x:v>
      </x:c>
      <x:c r="I39" s="15" t="n">
        <x:v>137</x:v>
      </x:c>
      <x:c r="J39" s="2" t="str">
        <x:v>교육용 가상자료</x:v>
      </x:c>
    </x:row>
    <x:row r="40" ht="28" customHeight="1">
      <x:c r="A40" s="10" t="str">
        <x:v>2025-12</x:v>
      </x:c>
      <x:c r="B40" s="10" t="str">
        <x:v>계획작업 고객안내</x:v>
      </x:c>
      <x:c r="C40" s="10" t="str">
        <x:v>건</x:v>
      </x:c>
      <x:c r="D40" s="16" t="n">
        <x:v>4000000</x:v>
      </x:c>
      <x:c r="E40" s="16" t="n">
        <x:v>3581000</x:v>
      </x:c>
      <x:c r="F40" s="16" t="n">
        <x:v>121</x:v>
      </x:c>
      <x:c r="G40" s="16" t="n">
        <x:v>111</x:v>
      </x:c>
      <x:c r="H40" s="16" t="n">
        <x:v>88</x:v>
      </x:c>
      <x:c r="I40" s="16" t="n">
        <x:v>71</x:v>
      </x:c>
      <x:c r="J40" s="10" t="str">
        <x:v>교육용 가상자료</x:v>
      </x:c>
    </x:row>
    <x:row r="41" ht="28" customHeight="1">
      <x:c r="A41" s="2" t="str">
        <x:v>2025-12</x:v>
      </x:c>
      <x:c r="B41" s="2" t="str">
        <x:v>직원 업무교육</x:v>
      </x:c>
      <x:c r="C41" s="2" t="str">
        <x:v>연인원</x:v>
      </x:c>
      <x:c r="D41" s="15" t="n">
        <x:v>3100000</x:v>
      </x:c>
      <x:c r="E41" s="15" t="n">
        <x:v>2692000</x:v>
      </x:c>
      <x:c r="F41" s="15" t="n">
        <x:v>88</x:v>
      </x:c>
      <x:c r="G41" s="15" t="n">
        <x:v>94</x:v>
      </x:c>
      <x:c r="H41" s="15" t="n">
        <x:v>67</x:v>
      </x:c>
      <x:c r="I41" s="15" t="n">
        <x:v>62</x:v>
      </x:c>
      <x:c r="J41" s="2" t="str">
        <x:v>교육용 가상자료</x:v>
      </x:c>
    </x:row>
  </x:sheetData>
  <x:mergeCells>
    <x:mergeCell ref="A3:J3"/>
  </x:mergeCells>
  <x:pageMargins left="0.7" right="0.7" top="0.75" bottom="0.75" header="0.3" footer="0.3"/>
  <x:tableParts count="1">
    <x:tablePart xmlns:r="http://schemas.openxmlformats.org/officeDocument/2006/relationships" r:id="R13b5badc36b14bee"/>
  </x:tableParts>
</x:worksheet>
</file>